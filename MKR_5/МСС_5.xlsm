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ina\OneDrive\Рабочий стол\мсс\MKR_5\"/>
    </mc:Choice>
  </mc:AlternateContent>
  <xr:revisionPtr revIDLastSave="0" documentId="13_ncr:1_{6B9262F4-A9A5-4D33-85FF-2D61DED3771A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ro=const" sheetId="1" r:id="rId1"/>
    <sheet name="ro=var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G12" i="1" s="1"/>
  <c r="G16" i="1" s="1"/>
  <c r="G17" i="1" s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Q4" i="1"/>
  <c r="G4" i="1"/>
  <c r="I3" i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L4" i="1" l="1"/>
  <c r="I3" i="2"/>
  <c r="I4" i="2" s="1"/>
  <c r="I16" i="2"/>
  <c r="I17" i="2" s="1"/>
  <c r="I18" i="2" s="1"/>
  <c r="M16" i="2"/>
  <c r="M17" i="2" s="1"/>
  <c r="M18" i="2" s="1"/>
  <c r="Q16" i="2"/>
  <c r="Q17" i="2" s="1"/>
  <c r="Q18" i="2" s="1"/>
  <c r="O4" i="1"/>
  <c r="K4" i="1"/>
  <c r="N4" i="1"/>
  <c r="J4" i="1"/>
  <c r="M4" i="1"/>
  <c r="I4" i="1"/>
  <c r="J16" i="2"/>
  <c r="J17" i="2" s="1"/>
  <c r="J18" i="2" s="1"/>
  <c r="N16" i="2"/>
  <c r="N17" i="2" s="1"/>
  <c r="N18" i="2" s="1"/>
  <c r="I22" i="1"/>
  <c r="I23" i="1" s="1"/>
  <c r="I20" i="1"/>
  <c r="K16" i="2"/>
  <c r="K17" i="2" s="1"/>
  <c r="K18" i="2" s="1"/>
  <c r="Q9" i="2"/>
  <c r="I9" i="2"/>
  <c r="G12" i="2"/>
  <c r="H9" i="2"/>
  <c r="O16" i="2"/>
  <c r="O17" i="2" s="1"/>
  <c r="O18" i="2" s="1"/>
  <c r="H16" i="2"/>
  <c r="H17" i="2" s="1"/>
  <c r="H18" i="2" s="1"/>
  <c r="L16" i="2"/>
  <c r="L17" i="2" s="1"/>
  <c r="L18" i="2" s="1"/>
  <c r="P16" i="2"/>
  <c r="P17" i="2" s="1"/>
  <c r="P18" i="2" s="1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Q14" i="2" l="1"/>
  <c r="G20" i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<sst xmlns="http://schemas.openxmlformats.org/spreadsheetml/2006/main" count="58" uniqueCount="25">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</sst>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0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164" fontId="0" fillId="6" borderId="1" xfId="0" applyNumberFormat="1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1.3682763757847844</c:v>
                </c:pt>
                <c:pt idx="1">
                  <c:v>1.3682763743201902</c:v>
                </c:pt>
                <c:pt idx="2">
                  <c:v>1.368276293722716</c:v>
                </c:pt>
                <c:pt idx="3">
                  <c:v>1.3682762324233317</c:v>
                </c:pt>
                <c:pt idx="4">
                  <c:v>1.3682761902179474</c:v>
                </c:pt>
                <c:pt idx="5">
                  <c:v>1.3682761657771061</c:v>
                </c:pt>
                <c:pt idx="6">
                  <c:v>1.368276156442793</c:v>
                </c:pt>
                <c:pt idx="7">
                  <c:v>1.3682761581877851</c:v>
                </c:pt>
                <c:pt idx="8">
                  <c:v>1.3682761659029845</c:v>
                </c:pt>
                <c:pt idx="9">
                  <c:v>1.3682761742131899</c:v>
                </c:pt>
                <c:pt idx="10">
                  <c:v>1.3682761789410935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133045.93224252338</c:v>
                </c:pt>
                <c:pt idx="1">
                  <c:v>132578.11115493046</c:v>
                </c:pt>
                <c:pt idx="2">
                  <c:v>131967.59970287842</c:v>
                </c:pt>
                <c:pt idx="3">
                  <c:v>131158.84524284292</c:v>
                </c:pt>
                <c:pt idx="4">
                  <c:v>130069.34949811635</c:v>
                </c:pt>
                <c:pt idx="5">
                  <c:v>128573.64397432865</c:v>
                </c:pt>
                <c:pt idx="6">
                  <c:v>126475.70537497028</c:v>
                </c:pt>
                <c:pt idx="7">
                  <c:v>123459.75809921337</c:v>
                </c:pt>
                <c:pt idx="8">
                  <c:v>118998.90628090221</c:v>
                </c:pt>
                <c:pt idx="9">
                  <c:v>112177.34027983494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57.428256581311665</c:v>
                </c:pt>
                <c:pt idx="1">
                  <c:v>63.632417196141802</c:v>
                </c:pt>
                <c:pt idx="2">
                  <c:v>70.899077924595915</c:v>
                </c:pt>
                <c:pt idx="3">
                  <c:v>79.485467863069104</c:v>
                </c:pt>
                <c:pt idx="4">
                  <c:v>89.731638668343152</c:v>
                </c:pt>
                <c:pt idx="5">
                  <c:v>102.0946626014475</c:v>
                </c:pt>
                <c:pt idx="6">
                  <c:v>117.20050472683978</c:v>
                </c:pt>
                <c:pt idx="7">
                  <c:v>135.92484588597847</c:v>
                </c:pt>
                <c:pt idx="8">
                  <c:v>159.52291030601074</c:v>
                </c:pt>
                <c:pt idx="9">
                  <c:v>189.84544813076286</c:v>
                </c:pt>
                <c:pt idx="10">
                  <c:v>229.71299303452199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57.428256581311665</c:v>
                </c:pt>
                <c:pt idx="1">
                  <c:v>63.632417196141802</c:v>
                </c:pt>
                <c:pt idx="2">
                  <c:v>70.899077924595915</c:v>
                </c:pt>
                <c:pt idx="3">
                  <c:v>79.485467863069104</c:v>
                </c:pt>
                <c:pt idx="4">
                  <c:v>89.731638668343152</c:v>
                </c:pt>
                <c:pt idx="5">
                  <c:v>102.0946626014475</c:v>
                </c:pt>
                <c:pt idx="6">
                  <c:v>117.20050472683978</c:v>
                </c:pt>
                <c:pt idx="7">
                  <c:v>135.92484588597847</c:v>
                </c:pt>
                <c:pt idx="8">
                  <c:v>159.52291030601074</c:v>
                </c:pt>
                <c:pt idx="9">
                  <c:v>189.84544813076286</c:v>
                </c:pt>
                <c:pt idx="10">
                  <c:v>229.71299303452199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42.000578438877</c:v>
                </c:pt>
                <c:pt idx="1">
                  <c:v>46.626736296426031</c:v>
                </c:pt>
                <c:pt idx="2">
                  <c:v>52.082037755027933</c:v>
                </c:pt>
                <c:pt idx="3">
                  <c:v>58.586934523649369</c:v>
                </c:pt>
                <c:pt idx="4">
                  <c:v>66.446359472500816</c:v>
                </c:pt>
                <c:pt idx="5">
                  <c:v>76.096659328838456</c:v>
                </c:pt>
                <c:pt idx="6">
                  <c:v>88.191088271710029</c:v>
                </c:pt>
                <c:pt idx="7">
                  <c:v>103.77217105353201</c:v>
                </c:pt>
                <c:pt idx="8">
                  <c:v>124.67534850155737</c:v>
                </c:pt>
                <c:pt idx="9">
                  <c:v>154.73848218063253</c:v>
                </c:pt>
                <c:pt idx="10">
                  <c:v>205.87821823922673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1.3681995950873449</c:v>
                </c:pt>
                <c:pt idx="1">
                  <c:v>1.3681995874142157</c:v>
                </c:pt>
                <c:pt idx="2">
                  <c:v>1.3681991638393569</c:v>
                </c:pt>
                <c:pt idx="3">
                  <c:v>1.3681987147789589</c:v>
                </c:pt>
                <c:pt idx="4">
                  <c:v>1.3681982628750382</c:v>
                </c:pt>
                <c:pt idx="5">
                  <c:v>1.3681978333095759</c:v>
                </c:pt>
                <c:pt idx="6">
                  <c:v>1.3681974522888203</c:v>
                </c:pt>
                <c:pt idx="7">
                  <c:v>1.3681971442945591</c:v>
                </c:pt>
                <c:pt idx="8">
                  <c:v>1.3681969276853752</c:v>
                </c:pt>
                <c:pt idx="9">
                  <c:v>1.3681968083826694</c:v>
                </c:pt>
                <c:pt idx="10">
                  <c:v>1.3681967718113028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133570.95834157526</c:v>
                </c:pt>
                <c:pt idx="1">
                  <c:v>133222.14523165711</c:v>
                </c:pt>
                <c:pt idx="2">
                  <c:v>132763.84173802566</c:v>
                </c:pt>
                <c:pt idx="3">
                  <c:v>132151.17845559432</c:v>
                </c:pt>
                <c:pt idx="4">
                  <c:v>131315.51779670102</c:v>
                </c:pt>
                <c:pt idx="5">
                  <c:v>130148.07042395642</c:v>
                </c:pt>
                <c:pt idx="6">
                  <c:v>128468.46138144769</c:v>
                </c:pt>
                <c:pt idx="7">
                  <c:v>125958.94666705352</c:v>
                </c:pt>
                <c:pt idx="8">
                  <c:v>122007.75072771324</c:v>
                </c:pt>
                <c:pt idx="9">
                  <c:v>115244.93437766572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42.000578438877</c:v>
                </c:pt>
                <c:pt idx="1">
                  <c:v>46.626736296426031</c:v>
                </c:pt>
                <c:pt idx="2">
                  <c:v>52.082037755027933</c:v>
                </c:pt>
                <c:pt idx="3">
                  <c:v>58.586934523649369</c:v>
                </c:pt>
                <c:pt idx="4">
                  <c:v>66.446359472500816</c:v>
                </c:pt>
                <c:pt idx="5">
                  <c:v>76.096659328838456</c:v>
                </c:pt>
                <c:pt idx="6">
                  <c:v>88.191088271710029</c:v>
                </c:pt>
                <c:pt idx="7">
                  <c:v>103.77217105353201</c:v>
                </c:pt>
                <c:pt idx="8">
                  <c:v>124.67534850155737</c:v>
                </c:pt>
                <c:pt idx="9">
                  <c:v>154.73848218063253</c:v>
                </c:pt>
                <c:pt idx="10">
                  <c:v>205.87821823922673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57.428256581311665</c:v>
                </c:pt>
                <c:pt idx="1">
                  <c:v>63.632417196141802</c:v>
                </c:pt>
                <c:pt idx="2">
                  <c:v>70.899077924595915</c:v>
                </c:pt>
                <c:pt idx="3">
                  <c:v>79.485467863069104</c:v>
                </c:pt>
                <c:pt idx="4">
                  <c:v>89.731638668343152</c:v>
                </c:pt>
                <c:pt idx="5">
                  <c:v>102.0946626014475</c:v>
                </c:pt>
                <c:pt idx="6">
                  <c:v>117.20050472683978</c:v>
                </c:pt>
                <c:pt idx="7">
                  <c:v>135.92484588597847</c:v>
                </c:pt>
                <c:pt idx="8">
                  <c:v>159.52291030601074</c:v>
                </c:pt>
                <c:pt idx="9">
                  <c:v>189.84544813076286</c:v>
                </c:pt>
                <c:pt idx="10">
                  <c:v>229.71299303452199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42.000578438877</c:v>
                </c:pt>
                <c:pt idx="1">
                  <c:v>46.626736296426031</c:v>
                </c:pt>
                <c:pt idx="2">
                  <c:v>52.082037755027933</c:v>
                </c:pt>
                <c:pt idx="3">
                  <c:v>58.586934523649369</c:v>
                </c:pt>
                <c:pt idx="4">
                  <c:v>66.446359472500816</c:v>
                </c:pt>
                <c:pt idx="5">
                  <c:v>76.096659328838456</c:v>
                </c:pt>
                <c:pt idx="6">
                  <c:v>88.191088271710029</c:v>
                </c:pt>
                <c:pt idx="7">
                  <c:v>103.77217105353201</c:v>
                </c:pt>
                <c:pt idx="8">
                  <c:v>124.67534850155737</c:v>
                </c:pt>
                <c:pt idx="9">
                  <c:v>154.73848218063253</c:v>
                </c:pt>
                <c:pt idx="10">
                  <c:v>205.87821823922673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61232</xdr:rowOff>
    </xdr:from>
    <xdr:to>
      <xdr:col>7</xdr:col>
      <xdr:colOff>9525</xdr:colOff>
      <xdr:row>51</xdr:row>
      <xdr:rowOff>23132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446315</xdr:colOff>
      <xdr:row>30</xdr:row>
      <xdr:rowOff>57149</xdr:rowOff>
    </xdr:from>
    <xdr:to>
      <xdr:col>14</xdr:col>
      <xdr:colOff>608240</xdr:colOff>
      <xdr:row>51</xdr:row>
      <xdr:rowOff>19049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51</xdr:row>
      <xdr:rowOff>10885</xdr:rowOff>
    </xdr:from>
    <xdr:to>
      <xdr:col>7</xdr:col>
      <xdr:colOff>9525</xdr:colOff>
      <xdr:row>71</xdr:row>
      <xdr:rowOff>148317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446315</xdr:colOff>
      <xdr:row>51</xdr:row>
      <xdr:rowOff>10885</xdr:rowOff>
    </xdr:from>
    <xdr:to>
      <xdr:col>14</xdr:col>
      <xdr:colOff>605518</xdr:colOff>
      <xdr:row>71</xdr:row>
      <xdr:rowOff>148317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602705</xdr:colOff>
      <xdr:row>38</xdr:row>
      <xdr:rowOff>64587</xdr:rowOff>
    </xdr:from>
    <xdr:to>
      <xdr:col>24</xdr:col>
      <xdr:colOff>152308</xdr:colOff>
      <xdr:row>63</xdr:row>
      <xdr:rowOff>65949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175260</xdr:rowOff>
        </xdr:from>
        <xdr:to>
          <xdr:col>3</xdr:col>
          <xdr:colOff>22860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147637</xdr:rowOff>
    </xdr:from>
    <xdr:to>
      <xdr:col>7</xdr:col>
      <xdr:colOff>9525</xdr:colOff>
      <xdr:row>48</xdr:row>
      <xdr:rowOff>14287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16669</xdr:colOff>
      <xdr:row>26</xdr:row>
      <xdr:rowOff>150018</xdr:rowOff>
    </xdr:from>
    <xdr:to>
      <xdr:col>14</xdr:col>
      <xdr:colOff>178594</xdr:colOff>
      <xdr:row>48</xdr:row>
      <xdr:rowOff>16668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48</xdr:row>
      <xdr:rowOff>9525</xdr:rowOff>
    </xdr:from>
    <xdr:to>
      <xdr:col>7</xdr:col>
      <xdr:colOff>9525</xdr:colOff>
      <xdr:row>69</xdr:row>
      <xdr:rowOff>62593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759619</xdr:colOff>
      <xdr:row>48</xdr:row>
      <xdr:rowOff>2381</xdr:rowOff>
    </xdr:from>
    <xdr:to>
      <xdr:col>14</xdr:col>
      <xdr:colOff>159544</xdr:colOff>
      <xdr:row>69</xdr:row>
      <xdr:rowOff>55449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164307</xdr:colOff>
      <xdr:row>36</xdr:row>
      <xdr:rowOff>176212</xdr:rowOff>
    </xdr:from>
    <xdr:to>
      <xdr:col>23</xdr:col>
      <xdr:colOff>303099</xdr:colOff>
      <xdr:row>62</xdr:row>
      <xdr:rowOff>68036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2</xdr:col>
          <xdr:colOff>601980</xdr:colOff>
          <xdr:row>16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V29"/>
  <sheetViews>
    <sheetView tabSelected="1" zoomScale="75" zoomScaleNormal="75" workbookViewId="0">
      <selection activeCell="S35" sqref="S35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19" t="s">
        <v>11</v>
      </c>
      <c r="G5" s="20">
        <v>57.428256581311665</v>
      </c>
      <c r="H5" s="20">
        <v>63.632417196141802</v>
      </c>
      <c r="I5" s="20">
        <v>70.899077924595915</v>
      </c>
      <c r="J5" s="20">
        <v>79.485467863069104</v>
      </c>
      <c r="K5" s="20">
        <v>89.731638668343152</v>
      </c>
      <c r="L5" s="20">
        <v>102.0946626014475</v>
      </c>
      <c r="M5" s="20">
        <v>117.20050472683978</v>
      </c>
      <c r="N5" s="20">
        <v>135.92484588597847</v>
      </c>
      <c r="O5" s="20">
        <v>159.52291030601074</v>
      </c>
      <c r="P5" s="20">
        <v>189.84544813076286</v>
      </c>
      <c r="Q5" s="20">
        <v>229.71299303452199</v>
      </c>
    </row>
    <row r="6" spans="2:17" x14ac:dyDescent="0.3">
      <c r="B6" s="17" t="s">
        <v>2</v>
      </c>
      <c r="C6" s="17">
        <v>1.4</v>
      </c>
      <c r="D6" s="2"/>
      <c r="E6" s="2"/>
      <c r="F6" s="19" t="s">
        <v>12</v>
      </c>
      <c r="G6" s="20">
        <v>133045.93224252338</v>
      </c>
      <c r="H6" s="20">
        <v>132578.11115493046</v>
      </c>
      <c r="I6" s="20">
        <v>131967.59970287842</v>
      </c>
      <c r="J6" s="20">
        <v>131158.84524284292</v>
      </c>
      <c r="K6" s="20">
        <v>130069.34949811635</v>
      </c>
      <c r="L6" s="20">
        <v>128573.64397432865</v>
      </c>
      <c r="M6" s="20">
        <v>126475.70537497028</v>
      </c>
      <c r="N6" s="20">
        <v>123459.75809921337</v>
      </c>
      <c r="O6" s="20">
        <v>118998.90628090221</v>
      </c>
      <c r="P6" s="20">
        <v>112177.34027983494</v>
      </c>
      <c r="Q6" s="20">
        <v>101325</v>
      </c>
    </row>
    <row r="7" spans="2:17" x14ac:dyDescent="0.3">
      <c r="B7" s="17" t="s">
        <v>3</v>
      </c>
      <c r="C7" s="17">
        <v>286.97199999999998</v>
      </c>
      <c r="D7" s="2"/>
      <c r="E7" s="2"/>
      <c r="F7" s="19" t="s">
        <v>13</v>
      </c>
      <c r="G7" s="21">
        <v>1.1850000000000001</v>
      </c>
      <c r="H7" s="21">
        <v>1.1850000000000001</v>
      </c>
      <c r="I7" s="21">
        <v>1.1850000000000001</v>
      </c>
      <c r="J7" s="21">
        <v>1.1850000000000001</v>
      </c>
      <c r="K7" s="21">
        <v>1.1850000000000001</v>
      </c>
      <c r="L7" s="21">
        <v>1.1850000000000001</v>
      </c>
      <c r="M7" s="21">
        <v>1.1850000000000001</v>
      </c>
      <c r="N7" s="21">
        <v>1.1850000000000001</v>
      </c>
      <c r="O7" s="21">
        <v>1.1850000000000001</v>
      </c>
      <c r="P7" s="21">
        <v>1.1850000000000001</v>
      </c>
      <c r="Q7" s="21">
        <v>1.1850000000000001</v>
      </c>
    </row>
    <row r="8" spans="2:17" x14ac:dyDescent="0.3">
      <c r="B8" s="17" t="s">
        <v>4</v>
      </c>
      <c r="C8" s="17">
        <f>C7*(C6/(C6-1))</f>
        <v>1004.402</v>
      </c>
      <c r="D8" s="2"/>
      <c r="E8" s="2"/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1.3682763757847844</v>
      </c>
      <c r="H9" s="7">
        <f>H4*H7*H12</f>
        <v>1.3682763743201902</v>
      </c>
      <c r="I9" s="7">
        <f t="shared" ref="I9:Q9" si="3">I4*I7*I12</f>
        <v>1.368276293722716</v>
      </c>
      <c r="J9" s="7">
        <f t="shared" si="3"/>
        <v>1.3682762324233317</v>
      </c>
      <c r="K9" s="7">
        <f t="shared" si="3"/>
        <v>1.3682761902179474</v>
      </c>
      <c r="L9" s="7">
        <f t="shared" si="3"/>
        <v>1.3682761657771061</v>
      </c>
      <c r="M9" s="7">
        <f t="shared" si="3"/>
        <v>1.368276156442793</v>
      </c>
      <c r="N9" s="7">
        <f t="shared" si="3"/>
        <v>1.3682761581877851</v>
      </c>
      <c r="O9" s="7">
        <f t="shared" si="3"/>
        <v>1.3682761659029845</v>
      </c>
      <c r="P9" s="7">
        <f t="shared" si="3"/>
        <v>1.3682761742131899</v>
      </c>
      <c r="Q9" s="7">
        <f t="shared" si="3"/>
        <v>1.3682761789410935</v>
      </c>
    </row>
    <row r="10" spans="2:17" x14ac:dyDescent="0.3">
      <c r="B10" s="11" t="s">
        <v>5</v>
      </c>
      <c r="C10" s="11">
        <v>135000</v>
      </c>
      <c r="D10" s="2"/>
      <c r="E10" s="2"/>
      <c r="F10" s="3" t="s">
        <v>15</v>
      </c>
      <c r="G10" s="12">
        <f>(G12)*(G9-H9)</f>
        <v>8.4109092774317887E-8</v>
      </c>
      <c r="H10" s="12">
        <f>(H12)*(H9-I9)</f>
        <v>5.12861210095151E-6</v>
      </c>
      <c r="I10" s="12">
        <f t="shared" ref="I10:P10" si="4">(I12)*(I9-J9)</f>
        <v>4.3460698163226403E-6</v>
      </c>
      <c r="J10" s="12">
        <f t="shared" si="4"/>
        <v>3.3547147156401362E-6</v>
      </c>
      <c r="K10" s="12">
        <f t="shared" si="4"/>
        <v>2.1931167442011614E-6</v>
      </c>
      <c r="L10" s="12">
        <f t="shared" si="4"/>
        <v>9.5298354645120042E-7</v>
      </c>
      <c r="M10" s="12">
        <f t="shared" si="4"/>
        <v>-2.0451396080576512E-7</v>
      </c>
      <c r="N10" s="12">
        <f t="shared" si="4"/>
        <v>-1.048687285108536E-6</v>
      </c>
      <c r="O10" s="12">
        <f t="shared" si="4"/>
        <v>-1.3256681526825719E-6</v>
      </c>
      <c r="P10" s="12">
        <f t="shared" si="4"/>
        <v>-8.9757098224339754E-7</v>
      </c>
      <c r="Q10" s="13">
        <v>0</v>
      </c>
    </row>
    <row r="11" spans="2:17" x14ac:dyDescent="0.3">
      <c r="B11" s="11" t="s">
        <v>6</v>
      </c>
      <c r="C11" s="11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1" t="s">
        <v>12</v>
      </c>
      <c r="C12" s="11">
        <v>101325</v>
      </c>
      <c r="D12" s="2"/>
      <c r="E12" s="2"/>
      <c r="F12" s="3" t="s">
        <v>11</v>
      </c>
      <c r="G12" s="14">
        <f>(H4*H5*H7)/(G4*G7)</f>
        <v>57.42825651951798</v>
      </c>
      <c r="H12" s="5">
        <f>((G6-H6)/H7+G5*H5)^0.5</f>
        <v>63.632417128030085</v>
      </c>
      <c r="I12" s="5">
        <f t="shared" ref="I12:Q12" si="5">((H6-I6)/I7+H5*I5)^0.5</f>
        <v>70.89907787070517</v>
      </c>
      <c r="J12" s="5">
        <f t="shared" si="5"/>
        <v>79.485467823474082</v>
      </c>
      <c r="K12" s="5">
        <f t="shared" si="5"/>
        <v>89.731638642262027</v>
      </c>
      <c r="L12" s="5">
        <f t="shared" si="5"/>
        <v>102.09466258708494</v>
      </c>
      <c r="M12" s="5">
        <f t="shared" si="5"/>
        <v>117.20050472135223</v>
      </c>
      <c r="N12" s="5">
        <f t="shared" si="5"/>
        <v>135.92484588568541</v>
      </c>
      <c r="O12" s="5">
        <f t="shared" si="5"/>
        <v>159.52291030699607</v>
      </c>
      <c r="P12" s="5">
        <f t="shared" si="5"/>
        <v>189.84544812994454</v>
      </c>
      <c r="Q12" s="5">
        <f t="shared" si="5"/>
        <v>229.71299303097655</v>
      </c>
    </row>
    <row r="13" spans="2:17" x14ac:dyDescent="0.3">
      <c r="B13" s="2"/>
      <c r="C13" s="2"/>
      <c r="D13" s="2"/>
      <c r="E13" s="2"/>
      <c r="F13" s="3" t="s">
        <v>12</v>
      </c>
      <c r="G13" s="15">
        <f>C10-(G7*G12^2)/2</f>
        <v>133045.9322467286</v>
      </c>
      <c r="H13" s="4">
        <f>H6+H10</f>
        <v>132578.11116005908</v>
      </c>
      <c r="I13" s="4">
        <f t="shared" ref="I13:P13" si="6">I6+I10</f>
        <v>131967.59970722449</v>
      </c>
      <c r="J13" s="4">
        <f t="shared" si="6"/>
        <v>131158.84524619763</v>
      </c>
      <c r="K13" s="4">
        <f t="shared" si="6"/>
        <v>130069.34950030947</v>
      </c>
      <c r="L13" s="4">
        <f t="shared" si="6"/>
        <v>128573.64397528164</v>
      </c>
      <c r="M13" s="4">
        <f t="shared" si="6"/>
        <v>126475.70537476576</v>
      </c>
      <c r="N13" s="4">
        <f t="shared" si="6"/>
        <v>123459.75809816469</v>
      </c>
      <c r="O13" s="4">
        <f t="shared" si="6"/>
        <v>118998.90627957655</v>
      </c>
      <c r="P13" s="4">
        <f t="shared" si="6"/>
        <v>112177.34027893736</v>
      </c>
      <c r="Q13" s="15">
        <f>Q6+Q10</f>
        <v>101325</v>
      </c>
    </row>
    <row r="14" spans="2:17" x14ac:dyDescent="0.3">
      <c r="B14" s="18" t="s">
        <v>7</v>
      </c>
      <c r="C14" s="18">
        <v>2100</v>
      </c>
      <c r="D14" s="2">
        <v>2100</v>
      </c>
      <c r="E14" s="2"/>
      <c r="F14" s="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286.51822477112177</v>
      </c>
      <c r="H16" s="3">
        <f t="shared" ref="H16:Q16" si="7">$C$11-(H12^2)/(2*$C$8)</f>
        <v>286.14433072138667</v>
      </c>
      <c r="I16" s="3">
        <f t="shared" si="7"/>
        <v>285.65767561050444</v>
      </c>
      <c r="J16" s="3">
        <f t="shared" si="7"/>
        <v>285.01487504250463</v>
      </c>
      <c r="K16" s="3">
        <f t="shared" si="7"/>
        <v>284.15176078232349</v>
      </c>
      <c r="L16" s="3">
        <f t="shared" si="7"/>
        <v>282.97118111634052</v>
      </c>
      <c r="M16" s="3">
        <f t="shared" si="7"/>
        <v>281.32212118905596</v>
      </c>
      <c r="N16" s="3">
        <f t="shared" si="7"/>
        <v>278.96270462969642</v>
      </c>
      <c r="O16" s="3">
        <f t="shared" si="7"/>
        <v>275.49198514498482</v>
      </c>
      <c r="P16" s="3">
        <f t="shared" si="7"/>
        <v>270.21833213411594</v>
      </c>
      <c r="Q16" s="3">
        <f t="shared" si="7"/>
        <v>261.891603896025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339.28128624877866</v>
      </c>
      <c r="H17" s="3">
        <f t="shared" ref="H17:Q17" si="8">SQRT($C$6*$C$7*H16)</f>
        <v>339.05984018472145</v>
      </c>
      <c r="I17" s="3">
        <f t="shared" si="8"/>
        <v>338.77139235687645</v>
      </c>
      <c r="J17" s="3">
        <f t="shared" si="8"/>
        <v>338.39001789204224</v>
      </c>
      <c r="K17" s="3">
        <f t="shared" si="8"/>
        <v>337.87725394485329</v>
      </c>
      <c r="L17" s="3">
        <f t="shared" si="8"/>
        <v>337.17462553140894</v>
      </c>
      <c r="M17" s="3">
        <f t="shared" si="8"/>
        <v>336.19072037552144</v>
      </c>
      <c r="N17" s="3">
        <f t="shared" si="8"/>
        <v>334.7779553408356</v>
      </c>
      <c r="O17" s="3">
        <f t="shared" si="8"/>
        <v>332.68886417407663</v>
      </c>
      <c r="P17" s="3">
        <f t="shared" si="8"/>
        <v>329.48920057092636</v>
      </c>
      <c r="Q17" s="3">
        <f t="shared" si="8"/>
        <v>324.37290314474501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0.16926443882144623</v>
      </c>
      <c r="H18" s="3">
        <f t="shared" ref="H18:Q18" si="9">H12/H17</f>
        <v>0.18767311720952512</v>
      </c>
      <c r="I18" s="3">
        <f t="shared" si="9"/>
        <v>0.20928295443558886</v>
      </c>
      <c r="J18" s="3">
        <f t="shared" si="9"/>
        <v>0.23489306309511945</v>
      </c>
      <c r="K18" s="3">
        <f t="shared" si="9"/>
        <v>0.2655746653395839</v>
      </c>
      <c r="L18" s="3">
        <f t="shared" si="9"/>
        <v>0.30279461992781093</v>
      </c>
      <c r="M18" s="3">
        <f t="shared" si="9"/>
        <v>0.34861314610480776</v>
      </c>
      <c r="N18" s="3">
        <f t="shared" si="9"/>
        <v>0.40601492337600625</v>
      </c>
      <c r="O18" s="3">
        <f t="shared" si="9"/>
        <v>0.4794957916701626</v>
      </c>
      <c r="P18" s="3">
        <f t="shared" si="9"/>
        <v>0.5761810942543415</v>
      </c>
      <c r="Q18" s="3">
        <f t="shared" si="9"/>
        <v>0.70817565463682286</v>
      </c>
    </row>
    <row r="19" spans="2:22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x14ac:dyDescent="0.3">
      <c r="B20" s="2"/>
      <c r="C20" s="2"/>
      <c r="D20" s="2"/>
      <c r="E20" s="2"/>
      <c r="F20" s="16" t="s">
        <v>20</v>
      </c>
      <c r="G20" s="16">
        <f>1-((($C$6-1)/($C$6+1))*G21^2)</f>
        <v>0.99458045477195467</v>
      </c>
      <c r="H20" s="16">
        <f t="shared" ref="H20:Q20" si="10">1-((($C$6-1)/($C$6+1))*H21^2)</f>
        <v>0.99341931915365</v>
      </c>
      <c r="I20" s="16">
        <f t="shared" si="10"/>
        <v>0.9919456772772568</v>
      </c>
      <c r="J20" s="16">
        <f t="shared" si="10"/>
        <v>0.99006173263790187</v>
      </c>
      <c r="K20" s="16">
        <f t="shared" si="10"/>
        <v>0.98763782537682798</v>
      </c>
      <c r="L20" s="16">
        <f t="shared" si="10"/>
        <v>0.98450448352575959</v>
      </c>
      <c r="M20" s="16">
        <f t="shared" si="10"/>
        <v>0.98044649404926931</v>
      </c>
      <c r="N20" s="16">
        <f t="shared" si="10"/>
        <v>0.97520514632741628</v>
      </c>
      <c r="O20" s="16">
        <f t="shared" si="10"/>
        <v>0.96850101289061941</v>
      </c>
      <c r="P20" s="16">
        <f t="shared" si="10"/>
        <v>0.96009726236788606</v>
      </c>
      <c r="Q20" s="16">
        <f t="shared" si="10"/>
        <v>0.94992447635796551</v>
      </c>
    </row>
    <row r="21" spans="2:22" x14ac:dyDescent="0.3">
      <c r="B21" s="2"/>
      <c r="C21" s="2"/>
      <c r="D21" s="2"/>
      <c r="E21" s="2"/>
      <c r="F21" s="16" t="s">
        <v>19</v>
      </c>
      <c r="G21" s="16">
        <f>SQRT(((($C$6+1)/2)*G18^2)/(1+2*G18^2))</f>
        <v>0.18032545956761639</v>
      </c>
      <c r="H21" s="16">
        <f t="shared" ref="H21:Q21" si="11">SQRT(((($C$6+1)/2)*H18^2)/(1+2*H18^2))</f>
        <v>0.19870602677850582</v>
      </c>
      <c r="I21" s="16">
        <f t="shared" si="11"/>
        <v>0.21983160904760612</v>
      </c>
      <c r="J21" s="16">
        <f t="shared" si="11"/>
        <v>0.24419173649529768</v>
      </c>
      <c r="K21" s="16">
        <f t="shared" si="11"/>
        <v>0.27234729251276268</v>
      </c>
      <c r="L21" s="16">
        <f t="shared" si="11"/>
        <v>0.30491490426911366</v>
      </c>
      <c r="M21" s="16">
        <f t="shared" si="11"/>
        <v>0.34252158428978452</v>
      </c>
      <c r="N21" s="16">
        <f t="shared" si="11"/>
        <v>0.38570600466612137</v>
      </c>
      <c r="O21" s="16">
        <f t="shared" si="11"/>
        <v>0.43473431272017549</v>
      </c>
      <c r="P21" s="16">
        <f t="shared" si="11"/>
        <v>0.48930197812055076</v>
      </c>
      <c r="Q21" s="16">
        <f t="shared" si="11"/>
        <v>0.5481360614411418</v>
      </c>
    </row>
    <row r="22" spans="2:22" x14ac:dyDescent="0.3">
      <c r="B22" s="2"/>
      <c r="C22" s="2"/>
      <c r="D22" s="2"/>
      <c r="E22" s="2"/>
      <c r="F22" s="16" t="s">
        <v>21</v>
      </c>
      <c r="G22" s="16">
        <f>(1-((($C$6-1)/($C$6+1))*G21^2))^($C$6/($C$6-1))</f>
        <v>0.98115974391492644</v>
      </c>
      <c r="H22" s="16">
        <f t="shared" ref="H22:Q22" si="12">(1-((($C$6-1)/($C$6+1))*H21^2))^($C$6/($C$6-1))</f>
        <v>0.97715645511163363</v>
      </c>
      <c r="I22" s="16">
        <f t="shared" si="12"/>
        <v>0.97209254415227409</v>
      </c>
      <c r="J22" s="16">
        <f t="shared" si="12"/>
        <v>0.96564603473221089</v>
      </c>
      <c r="K22" s="16">
        <f t="shared" si="12"/>
        <v>0.95739686473051655</v>
      </c>
      <c r="L22" s="16">
        <f t="shared" si="12"/>
        <v>0.94680805497932485</v>
      </c>
      <c r="M22" s="16">
        <f t="shared" si="12"/>
        <v>0.93321915102702313</v>
      </c>
      <c r="N22" s="16">
        <f t="shared" si="12"/>
        <v>0.91587445396245137</v>
      </c>
      <c r="O22" s="16">
        <f t="shared" si="12"/>
        <v>0.89402626409814756</v>
      </c>
      <c r="P22" s="16">
        <f t="shared" si="12"/>
        <v>0.86716813263037984</v>
      </c>
      <c r="Q22" s="16">
        <f t="shared" si="12"/>
        <v>0.83543328342092016</v>
      </c>
    </row>
    <row r="23" spans="2:22" x14ac:dyDescent="0.3">
      <c r="B23" s="2"/>
      <c r="C23" s="2"/>
      <c r="D23" s="2"/>
      <c r="E23" s="2"/>
      <c r="F23" s="16" t="s">
        <v>5</v>
      </c>
      <c r="G23" s="16">
        <f>G14/G22</f>
        <v>1.2077544022258093</v>
      </c>
      <c r="H23" s="16">
        <f t="shared" ref="H23:Q23" si="13">H14/H22</f>
        <v>1.2127024222181715</v>
      </c>
      <c r="I23" s="16">
        <f t="shared" si="13"/>
        <v>1.2190197395592564</v>
      </c>
      <c r="J23" s="16">
        <f t="shared" si="13"/>
        <v>1.2271577341780515</v>
      </c>
      <c r="K23" s="16">
        <f t="shared" si="13"/>
        <v>1.2377312310642965</v>
      </c>
      <c r="L23" s="16">
        <f t="shared" si="13"/>
        <v>1.2515736360374294</v>
      </c>
      <c r="M23" s="16">
        <f t="shared" si="13"/>
        <v>1.2697982019506222</v>
      </c>
      <c r="N23" s="16">
        <f t="shared" si="13"/>
        <v>1.2938454554259051</v>
      </c>
      <c r="O23" s="16">
        <f t="shared" si="13"/>
        <v>1.3254644159647517</v>
      </c>
      <c r="P23" s="16">
        <f t="shared" si="13"/>
        <v>1.3665170056532649</v>
      </c>
      <c r="Q23" s="16">
        <f t="shared" si="13"/>
        <v>1.4184256523126288</v>
      </c>
    </row>
    <row r="26" spans="2:22" x14ac:dyDescent="0.3">
      <c r="P26" s="3"/>
      <c r="Q26" s="3">
        <v>0</v>
      </c>
      <c r="R26" s="3">
        <v>2.5000000000000001E-2</v>
      </c>
      <c r="S26" s="3">
        <v>0.05</v>
      </c>
      <c r="T26" s="3">
        <v>7.4999999999999997E-2</v>
      </c>
      <c r="U26" s="3">
        <v>0.1</v>
      </c>
      <c r="V26" s="1"/>
    </row>
    <row r="27" spans="2:22" x14ac:dyDescent="0.3">
      <c r="P27" s="3" t="s">
        <v>22</v>
      </c>
      <c r="Q27" s="3">
        <v>46.31</v>
      </c>
      <c r="R27" s="3">
        <v>58.19</v>
      </c>
      <c r="S27" s="3">
        <v>80.48</v>
      </c>
      <c r="T27" s="3">
        <v>120.03</v>
      </c>
      <c r="U27" s="3">
        <v>213.26</v>
      </c>
      <c r="V27" s="1"/>
    </row>
    <row r="28" spans="2:22" x14ac:dyDescent="0.3">
      <c r="P28" s="3" t="s">
        <v>23</v>
      </c>
      <c r="Q28" s="3">
        <v>133165</v>
      </c>
      <c r="R28" s="3">
        <v>132230</v>
      </c>
      <c r="S28" s="3">
        <v>129765</v>
      </c>
      <c r="T28" s="3">
        <v>123565</v>
      </c>
      <c r="U28" s="3">
        <v>101336</v>
      </c>
      <c r="V28" s="1"/>
    </row>
    <row r="29" spans="2:22" x14ac:dyDescent="0.3">
      <c r="P29" s="3" t="s">
        <v>24</v>
      </c>
      <c r="Q29" s="3">
        <v>1.387</v>
      </c>
      <c r="R29" s="3"/>
      <c r="S29" s="3"/>
      <c r="T29" s="3"/>
      <c r="U29" s="3"/>
      <c r="V29" s="1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14</xdr:row>
                    <xdr:rowOff>175260</xdr:rowOff>
                  </from>
                  <to>
                    <xdr:col>3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V24"/>
  <sheetViews>
    <sheetView zoomScale="75" zoomScaleNormal="75" workbookViewId="0">
      <selection activeCell="T32" sqref="T32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19" t="s">
        <v>11</v>
      </c>
      <c r="G5" s="20">
        <v>42.000578438877</v>
      </c>
      <c r="H5" s="20">
        <v>46.626736296426031</v>
      </c>
      <c r="I5" s="20">
        <v>52.082037755027933</v>
      </c>
      <c r="J5" s="20">
        <v>58.586934523649369</v>
      </c>
      <c r="K5" s="20">
        <v>66.446359472500816</v>
      </c>
      <c r="L5" s="20">
        <v>76.096659328838456</v>
      </c>
      <c r="M5" s="20">
        <v>88.191088271710029</v>
      </c>
      <c r="N5" s="20">
        <v>103.77217105353201</v>
      </c>
      <c r="O5" s="20">
        <v>124.67534850155737</v>
      </c>
      <c r="P5" s="20">
        <v>154.73848218063253</v>
      </c>
      <c r="Q5" s="20">
        <v>205.87821823922673</v>
      </c>
    </row>
    <row r="6" spans="2:17" x14ac:dyDescent="0.3">
      <c r="B6" s="17" t="s">
        <v>2</v>
      </c>
      <c r="C6" s="17">
        <v>1.4</v>
      </c>
      <c r="D6" s="2"/>
      <c r="E6" s="2"/>
      <c r="F6" s="19" t="s">
        <v>12</v>
      </c>
      <c r="G6" s="20">
        <v>133570.95834157526</v>
      </c>
      <c r="H6" s="20">
        <v>133222.14523165711</v>
      </c>
      <c r="I6" s="20">
        <v>132763.84173802566</v>
      </c>
      <c r="J6" s="20">
        <v>132151.17845559432</v>
      </c>
      <c r="K6" s="20">
        <v>131315.51779670102</v>
      </c>
      <c r="L6" s="20">
        <v>130148.07042395642</v>
      </c>
      <c r="M6" s="20">
        <v>128468.46138144769</v>
      </c>
      <c r="N6" s="20">
        <v>125958.94666705352</v>
      </c>
      <c r="O6" s="20">
        <v>122007.75072771324</v>
      </c>
      <c r="P6" s="20">
        <v>115244.93437766572</v>
      </c>
      <c r="Q6" s="20">
        <v>101325</v>
      </c>
    </row>
    <row r="7" spans="2:17" x14ac:dyDescent="0.3">
      <c r="B7" s="17" t="s">
        <v>3</v>
      </c>
      <c r="C7" s="17">
        <v>286.97199999999998</v>
      </c>
      <c r="D7" s="2"/>
      <c r="E7" s="2"/>
      <c r="F7" s="19" t="s">
        <v>13</v>
      </c>
      <c r="G7" s="21">
        <v>1.6201840100034393</v>
      </c>
      <c r="H7" s="21">
        <v>1.6171018830613579</v>
      </c>
      <c r="I7" s="21">
        <v>1.6130450225779389</v>
      </c>
      <c r="J7" s="21">
        <v>1.6076100307835337</v>
      </c>
      <c r="K7" s="21">
        <v>1.6001770021696182</v>
      </c>
      <c r="L7" s="21">
        <v>1.5897576912517526</v>
      </c>
      <c r="M7" s="21">
        <v>1.5747011690662456</v>
      </c>
      <c r="N7" s="21">
        <v>1.5520696889643153</v>
      </c>
      <c r="O7" s="21">
        <v>1.5161273175442551</v>
      </c>
      <c r="P7" s="21">
        <v>1.4537676982948551</v>
      </c>
      <c r="Q7" s="21">
        <v>1.3221121765870565</v>
      </c>
    </row>
    <row r="8" spans="2:17" x14ac:dyDescent="0.3">
      <c r="B8" s="17" t="s">
        <v>4</v>
      </c>
      <c r="C8" s="17">
        <f>C7*(C6/(C6-1))</f>
        <v>1004.402</v>
      </c>
      <c r="D8" s="2"/>
      <c r="E8" s="2"/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1.3681995950873449</v>
      </c>
      <c r="H9" s="7">
        <f>H4*H7*H12</f>
        <v>1.3681995874142157</v>
      </c>
      <c r="I9" s="7">
        <f t="shared" ref="I9:Q9" si="3">I4*I7*I12</f>
        <v>1.3681991638393569</v>
      </c>
      <c r="J9" s="7">
        <f t="shared" si="3"/>
        <v>1.3681987147789589</v>
      </c>
      <c r="K9" s="7">
        <f t="shared" si="3"/>
        <v>1.3681982628750382</v>
      </c>
      <c r="L9" s="7">
        <f t="shared" si="3"/>
        <v>1.3681978333095759</v>
      </c>
      <c r="M9" s="7">
        <f t="shared" si="3"/>
        <v>1.3681974522888203</v>
      </c>
      <c r="N9" s="7">
        <f t="shared" si="3"/>
        <v>1.3681971442945591</v>
      </c>
      <c r="O9" s="7">
        <f t="shared" si="3"/>
        <v>1.3681969276853752</v>
      </c>
      <c r="P9" s="7">
        <f t="shared" si="3"/>
        <v>1.3681968083826694</v>
      </c>
      <c r="Q9" s="7">
        <f t="shared" si="3"/>
        <v>1.3681967718113028</v>
      </c>
    </row>
    <row r="10" spans="2:17" x14ac:dyDescent="0.3">
      <c r="B10" s="11" t="s">
        <v>5</v>
      </c>
      <c r="C10" s="11">
        <v>135000</v>
      </c>
      <c r="D10" s="2"/>
      <c r="E10" s="2"/>
      <c r="F10" s="3" t="s">
        <v>15</v>
      </c>
      <c r="G10" s="12">
        <f>(G12)*(G9-H9)</f>
        <v>3.2227586484433227E-7</v>
      </c>
      <c r="H10" s="12">
        <f>(H12)*(H9-I9)</f>
        <v>1.9749913129660098E-5</v>
      </c>
      <c r="I10" s="12">
        <f t="shared" ref="I10:P10" si="4">(I12)*(I9-J9)</f>
        <v>2.3387980477241848E-5</v>
      </c>
      <c r="J10" s="12">
        <f t="shared" si="4"/>
        <v>2.6475665287718538E-5</v>
      </c>
      <c r="K10" s="12">
        <f t="shared" si="4"/>
        <v>2.854306100936909E-5</v>
      </c>
      <c r="L10" s="12">
        <f t="shared" si="4"/>
        <v>2.899440654324033E-5</v>
      </c>
      <c r="M10" s="12">
        <f t="shared" si="4"/>
        <v>2.716234901320236E-5</v>
      </c>
      <c r="N10" s="12">
        <f t="shared" si="4"/>
        <v>2.2478005251580309E-5</v>
      </c>
      <c r="O10" s="12">
        <f t="shared" si="4"/>
        <v>1.4874106399849458E-5</v>
      </c>
      <c r="P10" s="12">
        <f t="shared" si="4"/>
        <v>5.6589977572943691E-6</v>
      </c>
      <c r="Q10" s="13">
        <v>0</v>
      </c>
    </row>
    <row r="11" spans="2:17" x14ac:dyDescent="0.3">
      <c r="B11" s="11" t="s">
        <v>6</v>
      </c>
      <c r="C11" s="11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1" t="s">
        <v>12</v>
      </c>
      <c r="C12" s="11">
        <v>101325</v>
      </c>
      <c r="D12" s="2"/>
      <c r="E12" s="2"/>
      <c r="F12" s="3" t="s">
        <v>11</v>
      </c>
      <c r="G12" s="14">
        <f>(H4*H5*H7)/(G4*G7)</f>
        <v>42.000578204003354</v>
      </c>
      <c r="H12" s="5">
        <f>((G6-H6)/H7+G5*H5)^0.5</f>
        <v>46.626736034934233</v>
      </c>
      <c r="I12" s="5">
        <f t="shared" ref="I12:Q12" si="5">((H6-I6)/I7+H5*I5)^0.5</f>
        <v>52.082037477716341</v>
      </c>
      <c r="J12" s="5">
        <f t="shared" si="5"/>
        <v>58.586934242658842</v>
      </c>
      <c r="K12" s="5">
        <f t="shared" si="5"/>
        <v>66.446359201548901</v>
      </c>
      <c r="L12" s="5">
        <f t="shared" si="5"/>
        <v>76.096659082464953</v>
      </c>
      <c r="M12" s="5">
        <f t="shared" si="5"/>
        <v>88.191088063900722</v>
      </c>
      <c r="N12" s="5">
        <f t="shared" si="5"/>
        <v>103.77217089551357</v>
      </c>
      <c r="O12" s="5">
        <f t="shared" si="5"/>
        <v>124.67534839861412</v>
      </c>
      <c r="P12" s="5">
        <f t="shared" si="5"/>
        <v>154.73848212787377</v>
      </c>
      <c r="Q12" s="5">
        <f t="shared" si="5"/>
        <v>205.87821821430407</v>
      </c>
    </row>
    <row r="13" spans="2:17" x14ac:dyDescent="0.3">
      <c r="B13" s="2"/>
      <c r="C13" s="2"/>
      <c r="D13" s="2"/>
      <c r="E13" s="2"/>
      <c r="F13" s="3" t="s">
        <v>12</v>
      </c>
      <c r="G13" s="15">
        <f>C10-(G7*G12^2)/2</f>
        <v>133570.95835743714</v>
      </c>
      <c r="H13" s="4">
        <f>H6+H10</f>
        <v>133222.14525140703</v>
      </c>
      <c r="I13" s="4">
        <f t="shared" ref="I13:P13" si="6">I6+I10</f>
        <v>132763.84176141364</v>
      </c>
      <c r="J13" s="4">
        <f t="shared" si="6"/>
        <v>132151.17848206998</v>
      </c>
      <c r="K13" s="4">
        <f t="shared" si="6"/>
        <v>131315.51782524408</v>
      </c>
      <c r="L13" s="4">
        <f t="shared" si="6"/>
        <v>130148.07045295082</v>
      </c>
      <c r="M13" s="4">
        <f t="shared" si="6"/>
        <v>128468.46140861003</v>
      </c>
      <c r="N13" s="4">
        <f t="shared" si="6"/>
        <v>125958.94668953153</v>
      </c>
      <c r="O13" s="4">
        <f t="shared" si="6"/>
        <v>122007.75074258735</v>
      </c>
      <c r="P13" s="4">
        <f t="shared" si="6"/>
        <v>115244.93438332471</v>
      </c>
      <c r="Q13" s="15">
        <f>Q6+Q10</f>
        <v>101325</v>
      </c>
    </row>
    <row r="14" spans="2:17" x14ac:dyDescent="0.3">
      <c r="B14" s="18" t="s">
        <v>7</v>
      </c>
      <c r="C14" s="18">
        <v>2100</v>
      </c>
      <c r="D14" s="2">
        <v>2100</v>
      </c>
      <c r="E14" s="2"/>
      <c r="F14" s="3" t="s">
        <v>13</v>
      </c>
      <c r="G14" s="7">
        <f>G13/($C$7*G16)</f>
        <v>1.620184010140449</v>
      </c>
      <c r="H14" s="7">
        <f t="shared" ref="H14:Q14" si="7">H13/($C$7*H16)</f>
        <v>1.6171018832327109</v>
      </c>
      <c r="I14" s="7">
        <f t="shared" si="7"/>
        <v>1.6130450227812241</v>
      </c>
      <c r="J14" s="7">
        <f t="shared" si="7"/>
        <v>1.6076100310136239</v>
      </c>
      <c r="K14" s="7">
        <f t="shared" si="7"/>
        <v>1.6001770024171333</v>
      </c>
      <c r="L14" s="7">
        <f t="shared" si="7"/>
        <v>1.5897576915018992</v>
      </c>
      <c r="M14" s="7">
        <f t="shared" si="7"/>
        <v>1.5747011692981181</v>
      </c>
      <c r="N14" s="7">
        <f t="shared" si="7"/>
        <v>1.5520696891516887</v>
      </c>
      <c r="O14" s="7">
        <f t="shared" si="7"/>
        <v>1.5161273176600014</v>
      </c>
      <c r="P14" s="7">
        <f t="shared" si="7"/>
        <v>1.4537676983234655</v>
      </c>
      <c r="Q14" s="7">
        <f t="shared" si="7"/>
        <v>1.3221121765617663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287.28184136955593</v>
      </c>
      <c r="H16" s="3">
        <f t="shared" ref="H16:Q16" si="8">$C$11-(H12^2)/(2*$C$8)</f>
        <v>287.07773786129889</v>
      </c>
      <c r="I16" s="3">
        <f t="shared" si="8"/>
        <v>286.80967481753811</v>
      </c>
      <c r="J16" s="3">
        <f t="shared" si="8"/>
        <v>286.45130723358096</v>
      </c>
      <c r="K16" s="3">
        <f t="shared" si="8"/>
        <v>285.96211576085011</v>
      </c>
      <c r="L16" s="3">
        <f t="shared" si="8"/>
        <v>285.27733871322795</v>
      </c>
      <c r="M16" s="3">
        <f t="shared" si="8"/>
        <v>284.28820961433041</v>
      </c>
      <c r="N16" s="3">
        <f t="shared" si="8"/>
        <v>282.7992662238986</v>
      </c>
      <c r="O16" s="3">
        <f t="shared" si="8"/>
        <v>280.42209102614504</v>
      </c>
      <c r="P16" s="3">
        <f t="shared" si="8"/>
        <v>276.24047084173554</v>
      </c>
      <c r="Q16" s="3">
        <f t="shared" si="8"/>
        <v>267.0599619997289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339.73310467793078</v>
      </c>
      <c r="H17" s="3">
        <f t="shared" ref="H17:Q17" si="9">SQRT($C$6*$C$7*H16)</f>
        <v>339.61239910425195</v>
      </c>
      <c r="I17" s="3">
        <f t="shared" si="9"/>
        <v>339.45380304606095</v>
      </c>
      <c r="J17" s="3">
        <f t="shared" si="9"/>
        <v>339.24166364880546</v>
      </c>
      <c r="K17" s="3">
        <f t="shared" si="9"/>
        <v>338.95186737613903</v>
      </c>
      <c r="L17" s="3">
        <f t="shared" si="9"/>
        <v>338.54578984724861</v>
      </c>
      <c r="M17" s="3">
        <f t="shared" si="9"/>
        <v>337.95836803550384</v>
      </c>
      <c r="N17" s="3">
        <f t="shared" si="9"/>
        <v>337.07218727970786</v>
      </c>
      <c r="O17" s="3">
        <f t="shared" si="9"/>
        <v>335.65250427836355</v>
      </c>
      <c r="P17" s="3">
        <f t="shared" si="9"/>
        <v>333.14049972609502</v>
      </c>
      <c r="Q17" s="3">
        <f t="shared" si="9"/>
        <v>327.55797041284262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0.12362815876839608</v>
      </c>
      <c r="H18" s="3">
        <f t="shared" ref="H18:Q18" si="10">H12/H17</f>
        <v>0.13729397441882288</v>
      </c>
      <c r="I18" s="3">
        <f t="shared" si="10"/>
        <v>0.15342894087608516</v>
      </c>
      <c r="J18" s="3">
        <f t="shared" si="10"/>
        <v>0.17269970207229626</v>
      </c>
      <c r="K18" s="3">
        <f t="shared" si="10"/>
        <v>0.19603479312834871</v>
      </c>
      <c r="L18" s="3">
        <f t="shared" si="10"/>
        <v>0.22477508616131264</v>
      </c>
      <c r="M18" s="3">
        <f t="shared" si="10"/>
        <v>0.26095252079876274</v>
      </c>
      <c r="N18" s="3">
        <f t="shared" si="10"/>
        <v>0.30786334444556757</v>
      </c>
      <c r="O18" s="3">
        <f t="shared" si="10"/>
        <v>0.37144173456015178</v>
      </c>
      <c r="P18" s="3">
        <f t="shared" si="10"/>
        <v>0.46448415084655958</v>
      </c>
      <c r="Q18" s="3">
        <f t="shared" si="10"/>
        <v>0.62852452637565914</v>
      </c>
    </row>
    <row r="21" spans="2:22" x14ac:dyDescent="0.3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9"/>
    </row>
    <row r="22" spans="2:22" x14ac:dyDescent="0.3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9"/>
    </row>
    <row r="23" spans="2:22" x14ac:dyDescent="0.3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9"/>
    </row>
    <row r="24" spans="2:22" x14ac:dyDescent="0.3">
      <c r="P24" s="3" t="s">
        <v>24</v>
      </c>
      <c r="Q24" s="3">
        <v>1.387</v>
      </c>
      <c r="R24" s="3"/>
      <c r="S24" s="3"/>
      <c r="T24" s="3"/>
      <c r="U24" s="3"/>
      <c r="V24" s="9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2</xdr:col>
                    <xdr:colOff>601980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Олеся Орина</cp:lastModifiedBy>
  <dcterms:created xsi:type="dcterms:W3CDTF">2021-05-18T04:26:27Z</dcterms:created>
  <dcterms:modified xsi:type="dcterms:W3CDTF">2021-05-24T15:12:55Z</dcterms:modified>
</cp:coreProperties>
</file>