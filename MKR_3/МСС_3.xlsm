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ina\OneDrive\Рабочий стол\MKR_3\"/>
    </mc:Choice>
  </mc:AlternateContent>
  <xr:revisionPtr revIDLastSave="0" documentId="13_ncr:1_{479D90D6-E75E-4E6A-90F5-C79F2565D79F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47" i="1"/>
  <c r="CV79" i="1" s="1"/>
  <c r="EB63" i="1"/>
  <c r="CV95" i="1" s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2" i="1"/>
  <c r="BS50" i="1"/>
  <c r="BS62" i="1"/>
  <c r="BS35" i="1"/>
  <c r="AM43" i="1"/>
  <c r="AM50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EB59" i="1" l="1"/>
  <c r="CV91" i="1" s="1"/>
  <c r="EB43" i="1"/>
  <c r="CV75" i="1" s="1"/>
  <c r="AM58" i="1"/>
  <c r="AM42" i="1"/>
  <c r="AN42" i="1" s="1"/>
  <c r="BS46" i="1"/>
  <c r="CV51" i="1"/>
  <c r="CV48" i="1"/>
  <c r="CY62" i="1"/>
  <c r="BS94" i="1" s="1"/>
  <c r="AM54" i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H58" i="1"/>
  <c r="H53" i="1"/>
  <c r="AM56" i="1"/>
  <c r="AN56" i="1" s="1"/>
  <c r="AM51" i="1"/>
  <c r="AN51" i="1" s="1"/>
  <c r="AM40" i="1"/>
  <c r="BS60" i="1"/>
  <c r="BS54" i="1"/>
  <c r="BS44" i="1"/>
  <c r="BS38" i="1"/>
  <c r="D20" i="1"/>
  <c r="AM64" i="1"/>
  <c r="AN64" i="1" s="1"/>
  <c r="BS52" i="1"/>
  <c r="BS36" i="1"/>
  <c r="CY63" i="1"/>
  <c r="BS95" i="1" s="1"/>
  <c r="BS63" i="1"/>
  <c r="H48" i="1"/>
  <c r="I48" i="1" s="1"/>
  <c r="J48" i="1" s="1"/>
  <c r="K48" i="1" s="1"/>
  <c r="AM47" i="1"/>
  <c r="D18" i="1"/>
  <c r="L49" i="1" s="1"/>
  <c r="M49" i="1" s="1"/>
  <c r="N49" i="1" s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AN37" i="1" s="1"/>
  <c r="H63" i="1"/>
  <c r="H51" i="1"/>
  <c r="H49" i="1"/>
  <c r="I49" i="1" s="1"/>
  <c r="J49" i="1" s="1"/>
  <c r="K49" i="1" s="1"/>
  <c r="AM60" i="1"/>
  <c r="AN60" i="1" s="1"/>
  <c r="AM55" i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O53" i="1" s="1"/>
  <c r="AN49" i="1"/>
  <c r="AN47" i="1"/>
  <c r="AN45" i="1"/>
  <c r="AN43" i="1"/>
  <c r="AN41" i="1"/>
  <c r="AN35" i="1"/>
  <c r="CV35" i="1"/>
  <c r="CV57" i="1"/>
  <c r="CV41" i="1"/>
  <c r="AN58" i="1"/>
  <c r="AO58" i="1" s="1"/>
  <c r="AN54" i="1"/>
  <c r="AN52" i="1"/>
  <c r="AN50" i="1"/>
  <c r="AN48" i="1"/>
  <c r="AN46" i="1"/>
  <c r="AN40" i="1"/>
  <c r="AN38" i="1"/>
  <c r="EB61" i="1"/>
  <c r="CV93" i="1" s="1"/>
  <c r="EB53" i="1"/>
  <c r="CV85" i="1" s="1"/>
  <c r="EB45" i="1"/>
  <c r="CV77" i="1" s="1"/>
  <c r="EB37" i="1"/>
  <c r="CV69" i="1" s="1"/>
  <c r="H64" i="1" l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N36" i="1"/>
  <c r="AO51" i="1"/>
  <c r="AO64" i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AO49" i="1"/>
  <c r="AP49" i="1" s="1"/>
  <c r="AQ49" i="1" s="1"/>
  <c r="AR49" i="1" s="1"/>
  <c r="AO48" i="1"/>
  <c r="AP48" i="1" s="1"/>
  <c r="AQ48" i="1" s="1"/>
  <c r="AR48" i="1" s="1"/>
  <c r="AN39" i="1"/>
  <c r="H38" i="1"/>
  <c r="AO38" i="1" s="1"/>
  <c r="H35" i="1"/>
  <c r="AO35" i="1" s="1"/>
  <c r="AO42" i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M95" i="1"/>
  <c r="AD95" i="1"/>
  <c r="S95" i="1"/>
  <c r="S94" i="1" s="1"/>
  <c r="D22" i="1"/>
  <c r="G95" i="1" s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H43" i="1"/>
  <c r="AO43" i="1" s="1"/>
  <c r="I47" i="1"/>
  <c r="J47" i="1" s="1"/>
  <c r="K47" i="1" s="1"/>
  <c r="L47" i="1" s="1"/>
  <c r="M47" i="1" s="1"/>
  <c r="N47" i="1" s="1"/>
  <c r="O47" i="1" s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H54" i="1"/>
  <c r="I54" i="1" s="1"/>
  <c r="J54" i="1" s="1"/>
  <c r="K54" i="1" s="1"/>
  <c r="L54" i="1" s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S49" i="1"/>
  <c r="AT49" i="1" s="1"/>
  <c r="AU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P47" i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BP63" i="1"/>
  <c r="AP35" i="1" l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W95" i="1"/>
  <c r="O95" i="1"/>
  <c r="O94" i="1" s="1"/>
  <c r="V95" i="1"/>
  <c r="I95" i="1"/>
  <c r="AO62" i="1"/>
  <c r="AP62" i="1" s="1"/>
  <c r="AQ62" i="1" s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AQ51" i="1"/>
  <c r="AR51" i="1" s="1"/>
  <c r="AS51" i="1" s="1"/>
  <c r="AT51" i="1" s="1"/>
  <c r="AP38" i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A95" i="1"/>
  <c r="AA94" i="1" s="1"/>
  <c r="R95" i="1"/>
  <c r="AC95" i="1"/>
  <c r="V94" i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BP50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N95" i="1"/>
  <c r="N94" i="1" s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Y95" i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AJ62" i="1"/>
  <c r="AJ51" i="1"/>
  <c r="AJ39" i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EA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X67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R67" i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82" i="1"/>
  <c r="DZ50" i="1"/>
  <c r="CU95" i="1"/>
  <c r="BO95" i="1" s="1"/>
  <c r="DZ63" i="1"/>
  <c r="DZ47" i="1"/>
  <c r="CU79" i="1"/>
  <c r="EA61" i="1" l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BP60" i="1"/>
  <c r="EA60" i="1"/>
  <c r="EA49" i="1"/>
  <c r="BP49" i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38" i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BP35" i="1" s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DY58" i="1" s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3" i="1"/>
  <c r="CT95" i="1"/>
  <c r="BN95" i="1" s="1"/>
  <c r="CT90" i="1"/>
  <c r="DY50" i="1"/>
  <c r="CT82" i="1"/>
  <c r="DZ38" i="1" l="1"/>
  <c r="CU70" i="1"/>
  <c r="CU81" i="1"/>
  <c r="DZ49" i="1"/>
  <c r="DZ45" i="1"/>
  <c r="CU77" i="1"/>
  <c r="CU92" i="1"/>
  <c r="DZ60" i="1"/>
  <c r="EA40" i="1"/>
  <c r="EA35" i="1"/>
  <c r="CU93" i="1"/>
  <c r="DZ61" i="1"/>
  <c r="DZ40" i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BO93" i="1" s="1"/>
  <c r="BO92" i="1" s="1"/>
  <c r="BO91" i="1" s="1"/>
  <c r="BO90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50" i="1"/>
  <c r="CS82" i="1"/>
  <c r="DX63" i="1"/>
  <c r="CS95" i="1"/>
  <c r="BM95" i="1" s="1"/>
  <c r="DY60" i="1" l="1"/>
  <c r="CT92" i="1"/>
  <c r="DY61" i="1"/>
  <c r="CT93" i="1"/>
  <c r="DY49" i="1"/>
  <c r="CT81" i="1"/>
  <c r="CU67" i="1"/>
  <c r="DZ35" i="1"/>
  <c r="DY45" i="1"/>
  <c r="CT77" i="1"/>
  <c r="DY38" i="1"/>
  <c r="CT70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DW50" i="1"/>
  <c r="CR82" i="1"/>
  <c r="DW63" i="1"/>
  <c r="CR95" i="1"/>
  <c r="BL95" i="1" s="1"/>
  <c r="CQ96" i="1"/>
  <c r="DV64" i="1"/>
  <c r="DW58" i="1"/>
  <c r="CR90" i="1"/>
  <c r="DW47" i="1"/>
  <c r="CR79" i="1"/>
  <c r="BN93" i="1" l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DX38" i="1"/>
  <c r="CS70" i="1"/>
  <c r="DX61" i="1"/>
  <c r="CS93" i="1"/>
  <c r="DY35" i="1"/>
  <c r="CT67" i="1"/>
  <c r="DX45" i="1"/>
  <c r="CS77" i="1"/>
  <c r="DX49" i="1"/>
  <c r="CS81" i="1"/>
  <c r="DX60" i="1"/>
  <c r="CS92" i="1"/>
  <c r="BO67" i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DV50" i="1"/>
  <c r="CQ82" i="1"/>
  <c r="DU64" i="1"/>
  <c r="CP96" i="1"/>
  <c r="DV47" i="1"/>
  <c r="CQ79" i="1"/>
  <c r="DV63" i="1"/>
  <c r="CQ95" i="1"/>
  <c r="BK95" i="1" s="1"/>
  <c r="CR81" i="1" l="1"/>
  <c r="DW49" i="1"/>
  <c r="DX35" i="1"/>
  <c r="CS67" i="1"/>
  <c r="DW38" i="1"/>
  <c r="CR70" i="1"/>
  <c r="CR92" i="1"/>
  <c r="DW60" i="1"/>
  <c r="CR77" i="1"/>
  <c r="DW45" i="1"/>
  <c r="CR93" i="1"/>
  <c r="DW61" i="1"/>
  <c r="DW52" i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50" i="1"/>
  <c r="CP82" i="1"/>
  <c r="DU58" i="1"/>
  <c r="CP90" i="1"/>
  <c r="DT64" i="1"/>
  <c r="CO96" i="1"/>
  <c r="DU63" i="1"/>
  <c r="CP95" i="1"/>
  <c r="BJ95" i="1" s="1"/>
  <c r="DU47" i="1"/>
  <c r="CP79" i="1"/>
  <c r="CQ92" i="1" l="1"/>
  <c r="DV60" i="1"/>
  <c r="DW35" i="1"/>
  <c r="CR67" i="1"/>
  <c r="CQ93" i="1"/>
  <c r="DV61" i="1"/>
  <c r="DV45" i="1"/>
  <c r="CQ77" i="1"/>
  <c r="DV49" i="1"/>
  <c r="CQ81" i="1"/>
  <c r="DV38" i="1"/>
  <c r="CQ70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BL78" i="1" s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CQ91" i="1"/>
  <c r="DV59" i="1"/>
  <c r="DW46" i="1"/>
  <c r="CR78" i="1"/>
  <c r="CQ80" i="1"/>
  <c r="DV48" i="1"/>
  <c r="CQ94" i="1"/>
  <c r="BK94" i="1" s="1"/>
  <c r="BK93" i="1" s="1"/>
  <c r="BK92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T50" i="1"/>
  <c r="CO82" i="1"/>
  <c r="DS64" i="1"/>
  <c r="CN96" i="1"/>
  <c r="DT47" i="1"/>
  <c r="CO79" i="1"/>
  <c r="DT63" i="1"/>
  <c r="CO95" i="1"/>
  <c r="BI95" i="1" s="1"/>
  <c r="CP70" i="1" l="1"/>
  <c r="DU38" i="1"/>
  <c r="CP77" i="1"/>
  <c r="DU45" i="1"/>
  <c r="DV35" i="1"/>
  <c r="CQ67" i="1"/>
  <c r="BK91" i="1"/>
  <c r="BK90" i="1" s="1"/>
  <c r="BK89" i="1" s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P93" i="1"/>
  <c r="DU61" i="1"/>
  <c r="CP92" i="1"/>
  <c r="DU60" i="1"/>
  <c r="CP81" i="1"/>
  <c r="DU49" i="1"/>
  <c r="BL67" i="1"/>
  <c r="DX67" i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63" i="1"/>
  <c r="CN95" i="1"/>
  <c r="BH95" i="1" s="1"/>
  <c r="DS50" i="1"/>
  <c r="CN82" i="1"/>
  <c r="DS58" i="1"/>
  <c r="CN90" i="1"/>
  <c r="DT60" i="1" l="1"/>
  <c r="CO92" i="1"/>
  <c r="BJ93" i="1"/>
  <c r="BJ92" i="1" s="1"/>
  <c r="DT38" i="1"/>
  <c r="CO70" i="1"/>
  <c r="DT45" i="1"/>
  <c r="CO77" i="1"/>
  <c r="DT49" i="1"/>
  <c r="CO81" i="1"/>
  <c r="DT61" i="1"/>
  <c r="CO93" i="1"/>
  <c r="CP67" i="1"/>
  <c r="DU35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63" i="1"/>
  <c r="CM95" i="1"/>
  <c r="BG95" i="1" s="1"/>
  <c r="DQ64" i="1"/>
  <c r="CL96" i="1"/>
  <c r="DR58" i="1"/>
  <c r="CM90" i="1"/>
  <c r="DR50" i="1"/>
  <c r="CM82" i="1"/>
  <c r="DR47" i="1"/>
  <c r="CM79" i="1"/>
  <c r="DS49" i="1" l="1"/>
  <c r="CN81" i="1"/>
  <c r="DS61" i="1"/>
  <c r="CN93" i="1"/>
  <c r="DS45" i="1"/>
  <c r="CN77" i="1"/>
  <c r="DS38" i="1"/>
  <c r="CN70" i="1"/>
  <c r="BI93" i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BI82" i="1" s="1"/>
  <c r="BI81" i="1" s="1"/>
  <c r="BI80" i="1" s="1"/>
  <c r="BI79" i="1" s="1"/>
  <c r="DT35" i="1"/>
  <c r="CO67" i="1"/>
  <c r="DS60" i="1"/>
  <c r="CN92" i="1"/>
  <c r="CN76" i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BI78" i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0" i="1"/>
  <c r="CL82" i="1"/>
  <c r="DQ58" i="1"/>
  <c r="CL90" i="1"/>
  <c r="DQ63" i="1"/>
  <c r="CL95" i="1"/>
  <c r="BF95" i="1" s="1"/>
  <c r="CM92" i="1" l="1"/>
  <c r="DR60" i="1"/>
  <c r="DR38" i="1"/>
  <c r="CM70" i="1"/>
  <c r="CM93" i="1"/>
  <c r="DR61" i="1"/>
  <c r="DS35" i="1"/>
  <c r="CN67" i="1"/>
  <c r="CM77" i="1"/>
  <c r="DR45" i="1"/>
  <c r="DR49" i="1"/>
  <c r="CM81" i="1"/>
  <c r="DR54" i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58" i="1"/>
  <c r="CK90" i="1"/>
  <c r="DO64" i="1"/>
  <c r="CJ96" i="1"/>
  <c r="DP63" i="1"/>
  <c r="CK95" i="1"/>
  <c r="BE95" i="1" s="1"/>
  <c r="DP50" i="1"/>
  <c r="CK82" i="1"/>
  <c r="DP47" i="1"/>
  <c r="CK79" i="1"/>
  <c r="BG89" i="1" l="1"/>
  <c r="BG88" i="1" s="1"/>
  <c r="BG87" i="1" s="1"/>
  <c r="BG86" i="1" s="1"/>
  <c r="BG85" i="1" s="1"/>
  <c r="BG84" i="1" s="1"/>
  <c r="BG83" i="1" s="1"/>
  <c r="BG82" i="1" s="1"/>
  <c r="BG81" i="1" s="1"/>
  <c r="BG80" i="1" s="1"/>
  <c r="BG79" i="1" s="1"/>
  <c r="BH78" i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DQ49" i="1"/>
  <c r="CL81" i="1"/>
  <c r="CM67" i="1"/>
  <c r="DR35" i="1"/>
  <c r="DQ38" i="1"/>
  <c r="CL70" i="1"/>
  <c r="DQ45" i="1"/>
  <c r="CL77" i="1"/>
  <c r="CL93" i="1"/>
  <c r="DQ61" i="1"/>
  <c r="DQ60" i="1"/>
  <c r="CL92" i="1"/>
  <c r="CM75" i="1"/>
  <c r="DR43" i="1"/>
  <c r="DQ39" i="1"/>
  <c r="CL71" i="1"/>
  <c r="BH67" i="1"/>
  <c r="DT67" i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5" i="1"/>
  <c r="CL87" i="1"/>
  <c r="DQ36" i="1"/>
  <c r="CL68" i="1"/>
  <c r="DQ62" i="1"/>
  <c r="CL94" i="1"/>
  <c r="BF94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BG78" i="1" s="1"/>
  <c r="BG77" i="1" s="1"/>
  <c r="BG76" i="1" s="1"/>
  <c r="DR46" i="1"/>
  <c r="DQ53" i="1"/>
  <c r="CL85" i="1"/>
  <c r="DQ56" i="1"/>
  <c r="CL88" i="1"/>
  <c r="DQ37" i="1"/>
  <c r="CL69" i="1"/>
  <c r="CL86" i="1"/>
  <c r="DQ54" i="1"/>
  <c r="DO50" i="1"/>
  <c r="CJ82" i="1"/>
  <c r="DO63" i="1"/>
  <c r="CJ95" i="1"/>
  <c r="BD95" i="1" s="1"/>
  <c r="DO47" i="1"/>
  <c r="CJ79" i="1"/>
  <c r="DN64" i="1"/>
  <c r="CI96" i="1"/>
  <c r="DO58" i="1"/>
  <c r="CJ90" i="1"/>
  <c r="CK81" i="1" l="1"/>
  <c r="DP49" i="1"/>
  <c r="BF93" i="1"/>
  <c r="BF92" i="1" s="1"/>
  <c r="DQ35" i="1"/>
  <c r="CL67" i="1"/>
  <c r="CK93" i="1"/>
  <c r="DP61" i="1"/>
  <c r="CK70" i="1"/>
  <c r="DP38" i="1"/>
  <c r="BG75" i="1"/>
  <c r="BG74" i="1" s="1"/>
  <c r="BG73" i="1" s="1"/>
  <c r="BG72" i="1" s="1"/>
  <c r="BG71" i="1" s="1"/>
  <c r="BG70" i="1" s="1"/>
  <c r="BG69" i="1" s="1"/>
  <c r="BG68" i="1" s="1"/>
  <c r="CK92" i="1"/>
  <c r="DP60" i="1"/>
  <c r="CK77" i="1"/>
  <c r="DP45" i="1"/>
  <c r="BG67" i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DP56" i="1"/>
  <c r="CK88" i="1"/>
  <c r="DP48" i="1"/>
  <c r="CK80" i="1"/>
  <c r="DP52" i="1"/>
  <c r="CK84" i="1"/>
  <c r="CK94" i="1"/>
  <c r="BE94" i="1" s="1"/>
  <c r="BE93" i="1" s="1"/>
  <c r="BE92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BF73" i="1" s="1"/>
  <c r="BF72" i="1" s="1"/>
  <c r="BF71" i="1" s="1"/>
  <c r="BF70" i="1" s="1"/>
  <c r="BF69" i="1" s="1"/>
  <c r="BF68" i="1" s="1"/>
  <c r="DN47" i="1"/>
  <c r="CI79" i="1"/>
  <c r="DN50" i="1"/>
  <c r="CI82" i="1"/>
  <c r="DN58" i="1"/>
  <c r="CI90" i="1"/>
  <c r="DM64" i="1"/>
  <c r="CH96" i="1"/>
  <c r="DN63" i="1"/>
  <c r="CI95" i="1"/>
  <c r="BC95" i="1" s="1"/>
  <c r="DO61" i="1" l="1"/>
  <c r="CJ93" i="1"/>
  <c r="DO60" i="1"/>
  <c r="CJ92" i="1"/>
  <c r="DP35" i="1"/>
  <c r="CK67" i="1"/>
  <c r="DO49" i="1"/>
  <c r="CJ81" i="1"/>
  <c r="DO45" i="1"/>
  <c r="CJ77" i="1"/>
  <c r="DO38" i="1"/>
  <c r="CJ7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D86" i="1" s="1"/>
  <c r="BD85" i="1" s="1"/>
  <c r="BD84" i="1" s="1"/>
  <c r="BD83" i="1" s="1"/>
  <c r="BD82" i="1" s="1"/>
  <c r="BD81" i="1" s="1"/>
  <c r="BD80" i="1" s="1"/>
  <c r="BD79" i="1" s="1"/>
  <c r="BF67" i="1"/>
  <c r="DR67" i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CK73" i="1"/>
  <c r="DP41" i="1"/>
  <c r="CJ86" i="1"/>
  <c r="DO54" i="1"/>
  <c r="DO42" i="1"/>
  <c r="CJ74" i="1"/>
  <c r="DO39" i="1"/>
  <c r="CJ71" i="1"/>
  <c r="BE91" i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8" i="1"/>
  <c r="CJ80" i="1"/>
  <c r="DM63" i="1"/>
  <c r="CH95" i="1"/>
  <c r="BB95" i="1" s="1"/>
  <c r="DL64" i="1"/>
  <c r="CG96" i="1"/>
  <c r="DM58" i="1"/>
  <c r="CH90" i="1"/>
  <c r="DM50" i="1"/>
  <c r="CH82" i="1"/>
  <c r="DM47" i="1"/>
  <c r="CH79" i="1"/>
  <c r="DN38" i="1" l="1"/>
  <c r="CI70" i="1"/>
  <c r="CI81" i="1"/>
  <c r="DN49" i="1"/>
  <c r="CI92" i="1"/>
  <c r="DN60" i="1"/>
  <c r="CI77" i="1"/>
  <c r="DN45" i="1"/>
  <c r="DO35" i="1"/>
  <c r="CJ67" i="1"/>
  <c r="CI93" i="1"/>
  <c r="DN61" i="1"/>
  <c r="CI80" i="1"/>
  <c r="DN48" i="1"/>
  <c r="DO41" i="1"/>
  <c r="CJ73" i="1"/>
  <c r="CI69" i="1"/>
  <c r="DN37" i="1"/>
  <c r="CI83" i="1"/>
  <c r="DN51" i="1"/>
  <c r="DO46" i="1"/>
  <c r="CJ78" i="1"/>
  <c r="BD78" i="1" s="1"/>
  <c r="BD77" i="1" s="1"/>
  <c r="BD76" i="1" s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50" i="1"/>
  <c r="CG82" i="1"/>
  <c r="DL58" i="1"/>
  <c r="CG90" i="1"/>
  <c r="DK64" i="1"/>
  <c r="CF96" i="1"/>
  <c r="DL63" i="1"/>
  <c r="CG95" i="1"/>
  <c r="BA95" i="1" s="1"/>
  <c r="CH93" i="1" l="1"/>
  <c r="DM61" i="1"/>
  <c r="DM45" i="1"/>
  <c r="CH77" i="1"/>
  <c r="DM49" i="1"/>
  <c r="CH81" i="1"/>
  <c r="BD75" i="1"/>
  <c r="BD74" i="1" s="1"/>
  <c r="BD73" i="1" s="1"/>
  <c r="BD72" i="1" s="1"/>
  <c r="BD71" i="1" s="1"/>
  <c r="BD70" i="1" s="1"/>
  <c r="BD69" i="1" s="1"/>
  <c r="BD68" i="1" s="1"/>
  <c r="BD67" i="1" s="1"/>
  <c r="DM60" i="1"/>
  <c r="CH92" i="1"/>
  <c r="CI67" i="1"/>
  <c r="DN35" i="1"/>
  <c r="CH70" i="1"/>
  <c r="DM38" i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BB86" i="1" s="1"/>
  <c r="BB85" i="1" s="1"/>
  <c r="BB84" i="1" s="1"/>
  <c r="BB83" i="1" s="1"/>
  <c r="BB82" i="1" s="1"/>
  <c r="BB81" i="1" s="1"/>
  <c r="BB80" i="1" s="1"/>
  <c r="BB79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BC78" i="1" s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CH83" i="1"/>
  <c r="DM51" i="1"/>
  <c r="DK63" i="1"/>
  <c r="CF95" i="1"/>
  <c r="AZ95" i="1" s="1"/>
  <c r="DJ64" i="1"/>
  <c r="CE96" i="1"/>
  <c r="DK50" i="1"/>
  <c r="CF82" i="1"/>
  <c r="DK58" i="1"/>
  <c r="CF90" i="1"/>
  <c r="DK47" i="1"/>
  <c r="CF79" i="1"/>
  <c r="CG92" i="1" l="1"/>
  <c r="DL60" i="1"/>
  <c r="DM35" i="1"/>
  <c r="CH67" i="1"/>
  <c r="CG93" i="1"/>
  <c r="DL61" i="1"/>
  <c r="DL45" i="1"/>
  <c r="CG77" i="1"/>
  <c r="CG70" i="1"/>
  <c r="DL38" i="1"/>
  <c r="DL49" i="1"/>
  <c r="CG81" i="1"/>
  <c r="BC67" i="1"/>
  <c r="DO67" i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CH78" i="1"/>
  <c r="BB78" i="1" s="1"/>
  <c r="BB77" i="1" s="1"/>
  <c r="BB76" i="1" s="1"/>
  <c r="DM46" i="1"/>
  <c r="DL53" i="1"/>
  <c r="CG85" i="1"/>
  <c r="DL37" i="1"/>
  <c r="CG69" i="1"/>
  <c r="DL44" i="1"/>
  <c r="CG76" i="1"/>
  <c r="CG94" i="1"/>
  <c r="BA94" i="1" s="1"/>
  <c r="BA93" i="1" s="1"/>
  <c r="BA92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63" i="1"/>
  <c r="CE95" i="1"/>
  <c r="AY95" i="1" s="1"/>
  <c r="DJ47" i="1"/>
  <c r="CE79" i="1"/>
  <c r="DJ50" i="1"/>
  <c r="CE82" i="1"/>
  <c r="DI64" i="1"/>
  <c r="CD96" i="1"/>
  <c r="DK49" i="1" l="1"/>
  <c r="CF81" i="1"/>
  <c r="DK45" i="1"/>
  <c r="CF77" i="1"/>
  <c r="DL35" i="1"/>
  <c r="CG67" i="1"/>
  <c r="DK38" i="1"/>
  <c r="CF70" i="1"/>
  <c r="DK61" i="1"/>
  <c r="CF93" i="1"/>
  <c r="DK60" i="1"/>
  <c r="CF92" i="1"/>
  <c r="DK40" i="1"/>
  <c r="CF72" i="1"/>
  <c r="CG73" i="1"/>
  <c r="DL41" i="1"/>
  <c r="DK39" i="1"/>
  <c r="CF71" i="1"/>
  <c r="CF74" i="1"/>
  <c r="DK42" i="1"/>
  <c r="DK62" i="1"/>
  <c r="CF94" i="1"/>
  <c r="AZ94" i="1" s="1"/>
  <c r="AZ93" i="1" s="1"/>
  <c r="DL46" i="1"/>
  <c r="CG78" i="1"/>
  <c r="CF91" i="1"/>
  <c r="DK59" i="1"/>
  <c r="CF89" i="1"/>
  <c r="DK57" i="1"/>
  <c r="BA91" i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50" i="1"/>
  <c r="CD82" i="1"/>
  <c r="DI63" i="1"/>
  <c r="CD95" i="1"/>
  <c r="AX95" i="1" s="1"/>
  <c r="DI47" i="1"/>
  <c r="CD79" i="1"/>
  <c r="DI58" i="1"/>
  <c r="CD90" i="1"/>
  <c r="DJ60" i="1" l="1"/>
  <c r="CE92" i="1"/>
  <c r="CE70" i="1"/>
  <c r="DJ38" i="1"/>
  <c r="DJ45" i="1"/>
  <c r="CE77" i="1"/>
  <c r="AZ92" i="1"/>
  <c r="AZ91" i="1" s="1"/>
  <c r="AZ90" i="1" s="1"/>
  <c r="AZ89" i="1" s="1"/>
  <c r="BA78" i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BA67" i="1" s="1"/>
  <c r="CE93" i="1"/>
  <c r="DJ61" i="1"/>
  <c r="DK35" i="1"/>
  <c r="CF67" i="1"/>
  <c r="CE81" i="1"/>
  <c r="DJ49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AZ82" i="1" s="1"/>
  <c r="AZ81" i="1" s="1"/>
  <c r="AZ80" i="1" s="1"/>
  <c r="AZ79" i="1" s="1"/>
  <c r="AZ78" i="1" s="1"/>
  <c r="AZ77" i="1" s="1"/>
  <c r="AZ7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AY82" i="1" s="1"/>
  <c r="AY81" i="1" s="1"/>
  <c r="AY80" i="1" s="1"/>
  <c r="AY79" i="1" s="1"/>
  <c r="DJ62" i="1"/>
  <c r="DJ39" i="1"/>
  <c r="CE71" i="1"/>
  <c r="DJ40" i="1"/>
  <c r="CE72" i="1"/>
  <c r="DH58" i="1"/>
  <c r="CC90" i="1"/>
  <c r="DH47" i="1"/>
  <c r="CC79" i="1"/>
  <c r="DH63" i="1"/>
  <c r="CC95" i="1"/>
  <c r="AW95" i="1" s="1"/>
  <c r="DH50" i="1"/>
  <c r="CC82" i="1"/>
  <c r="DG64" i="1"/>
  <c r="CB96" i="1"/>
  <c r="DI38" i="1" l="1"/>
  <c r="CD70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DJ35" i="1"/>
  <c r="CE67" i="1"/>
  <c r="DI49" i="1"/>
  <c r="CD81" i="1"/>
  <c r="DI61" i="1"/>
  <c r="CD93" i="1"/>
  <c r="AZ75" i="1"/>
  <c r="AZ74" i="1" s="1"/>
  <c r="AZ73" i="1" s="1"/>
  <c r="AZ72" i="1" s="1"/>
  <c r="AZ71" i="1" s="1"/>
  <c r="AZ70" i="1" s="1"/>
  <c r="AZ69" i="1" s="1"/>
  <c r="AZ68" i="1" s="1"/>
  <c r="AZ67" i="1" s="1"/>
  <c r="DI45" i="1"/>
  <c r="CD77" i="1"/>
  <c r="DI60" i="1"/>
  <c r="CD92" i="1"/>
  <c r="CD94" i="1"/>
  <c r="AX94" i="1" s="1"/>
  <c r="AX93" i="1" s="1"/>
  <c r="AX92" i="1" s="1"/>
  <c r="DI62" i="1"/>
  <c r="DI40" i="1"/>
  <c r="CD72" i="1"/>
  <c r="DI39" i="1"/>
  <c r="CD71" i="1"/>
  <c r="DI52" i="1"/>
  <c r="CD84" i="1"/>
  <c r="CE73" i="1"/>
  <c r="DJ41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50" i="1"/>
  <c r="CB82" i="1"/>
  <c r="DG63" i="1"/>
  <c r="CB95" i="1"/>
  <c r="AV95" i="1" s="1"/>
  <c r="DG47" i="1"/>
  <c r="CB79" i="1"/>
  <c r="CC81" i="1" l="1"/>
  <c r="DH49" i="1"/>
  <c r="DH61" i="1"/>
  <c r="CC93" i="1"/>
  <c r="DI35" i="1"/>
  <c r="CD67" i="1"/>
  <c r="DH45" i="1"/>
  <c r="CC77" i="1"/>
  <c r="CC92" i="1"/>
  <c r="DH60" i="1"/>
  <c r="DH38" i="1"/>
  <c r="CC70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50" i="1"/>
  <c r="CA82" i="1"/>
  <c r="DF58" i="1"/>
  <c r="CA90" i="1"/>
  <c r="DE64" i="1"/>
  <c r="BZ96" i="1"/>
  <c r="CB70" i="1" l="1"/>
  <c r="DG38" i="1"/>
  <c r="CB77" i="1"/>
  <c r="DG45" i="1"/>
  <c r="CB93" i="1"/>
  <c r="DG61" i="1"/>
  <c r="AW93" i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CB92" i="1"/>
  <c r="DG60" i="1"/>
  <c r="CB81" i="1"/>
  <c r="DG49" i="1"/>
  <c r="DH35" i="1"/>
  <c r="CC67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DG62" i="1"/>
  <c r="CB94" i="1"/>
  <c r="AV94" i="1" s="1"/>
  <c r="AV93" i="1" s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DG52" i="1"/>
  <c r="CB84" i="1"/>
  <c r="DG57" i="1"/>
  <c r="CB89" i="1"/>
  <c r="CB87" i="1"/>
  <c r="DG55" i="1"/>
  <c r="DH43" i="1"/>
  <c r="CC75" i="1"/>
  <c r="DD64" i="1"/>
  <c r="BY96" i="1"/>
  <c r="DE58" i="1"/>
  <c r="BZ90" i="1"/>
  <c r="DE47" i="1"/>
  <c r="BZ79" i="1"/>
  <c r="DE50" i="1"/>
  <c r="BZ82" i="1"/>
  <c r="DE63" i="1"/>
  <c r="BZ95" i="1"/>
  <c r="AT95" i="1" s="1"/>
  <c r="CB67" i="1" l="1"/>
  <c r="DG35" i="1"/>
  <c r="DF45" i="1"/>
  <c r="CA77" i="1"/>
  <c r="CA81" i="1"/>
  <c r="DF49" i="1"/>
  <c r="AW78" i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AW67" i="1" s="1"/>
  <c r="DF61" i="1"/>
  <c r="CA93" i="1"/>
  <c r="CA70" i="1"/>
  <c r="DF38" i="1"/>
  <c r="CA92" i="1"/>
  <c r="DF60" i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AV78" i="1" s="1"/>
  <c r="AV77" i="1" s="1"/>
  <c r="AV76" i="1" s="1"/>
  <c r="DF42" i="1"/>
  <c r="CA74" i="1"/>
  <c r="CA85" i="1"/>
  <c r="DF53" i="1"/>
  <c r="DF36" i="1"/>
  <c r="CA68" i="1"/>
  <c r="CA80" i="1"/>
  <c r="DF48" i="1"/>
  <c r="DD47" i="1"/>
  <c r="BY79" i="1"/>
  <c r="DD63" i="1"/>
  <c r="BY95" i="1"/>
  <c r="AS95" i="1" s="1"/>
  <c r="DD50" i="1"/>
  <c r="BY82" i="1"/>
  <c r="DD58" i="1"/>
  <c r="BY90" i="1"/>
  <c r="DC64" i="1"/>
  <c r="BX96" i="1"/>
  <c r="DE60" i="1" l="1"/>
  <c r="BZ92" i="1"/>
  <c r="AV75" i="1"/>
  <c r="AV74" i="1" s="1"/>
  <c r="AV73" i="1" s="1"/>
  <c r="AV72" i="1" s="1"/>
  <c r="AV71" i="1" s="1"/>
  <c r="AV70" i="1" s="1"/>
  <c r="AV69" i="1" s="1"/>
  <c r="AV68" i="1" s="1"/>
  <c r="DE38" i="1"/>
  <c r="BZ70" i="1"/>
  <c r="DE45" i="1"/>
  <c r="BZ77" i="1"/>
  <c r="AU93" i="1"/>
  <c r="AU92" i="1" s="1"/>
  <c r="AU91" i="1" s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DE61" i="1"/>
  <c r="BZ93" i="1"/>
  <c r="BZ81" i="1"/>
  <c r="DE49" i="1"/>
  <c r="DF35" i="1"/>
  <c r="CA67" i="1"/>
  <c r="AV67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AT82" i="1" s="1"/>
  <c r="AT81" i="1" s="1"/>
  <c r="AT80" i="1" s="1"/>
  <c r="AT79" i="1" s="1"/>
  <c r="DF43" i="1"/>
  <c r="CA75" i="1"/>
  <c r="DE40" i="1"/>
  <c r="BZ72" i="1"/>
  <c r="DE48" i="1"/>
  <c r="BZ80" i="1"/>
  <c r="DE53" i="1"/>
  <c r="BZ85" i="1"/>
  <c r="DE54" i="1"/>
  <c r="BZ86" i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C47" i="1"/>
  <c r="BX79" i="1"/>
  <c r="DB64" i="1"/>
  <c r="BW96" i="1"/>
  <c r="DC50" i="1"/>
  <c r="BX82" i="1"/>
  <c r="DD49" i="1" l="1"/>
  <c r="BY81" i="1"/>
  <c r="DD38" i="1"/>
  <c r="BY70" i="1"/>
  <c r="DD45" i="1"/>
  <c r="BY77" i="1"/>
  <c r="DE35" i="1"/>
  <c r="BZ67" i="1"/>
  <c r="DD61" i="1"/>
  <c r="BY93" i="1"/>
  <c r="DD60" i="1"/>
  <c r="BY92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DD44" i="1"/>
  <c r="BY76" i="1"/>
  <c r="DD42" i="1"/>
  <c r="BY74" i="1"/>
  <c r="DB50" i="1"/>
  <c r="BW82" i="1"/>
  <c r="DB47" i="1"/>
  <c r="BW79" i="1"/>
  <c r="DB63" i="1"/>
  <c r="BW95" i="1"/>
  <c r="AQ95" i="1" s="1"/>
  <c r="DB58" i="1"/>
  <c r="BW90" i="1"/>
  <c r="DA64" i="1"/>
  <c r="BV96" i="1"/>
  <c r="DC60" i="1" l="1"/>
  <c r="BX92" i="1"/>
  <c r="DD35" i="1"/>
  <c r="BY67" i="1"/>
  <c r="BX70" i="1"/>
  <c r="DC38" i="1"/>
  <c r="AS92" i="1"/>
  <c r="AS91" i="1" s="1"/>
  <c r="AS90" i="1" s="1"/>
  <c r="AS89" i="1" s="1"/>
  <c r="AS88" i="1" s="1"/>
  <c r="AS87" i="1" s="1"/>
  <c r="AS86" i="1" s="1"/>
  <c r="AS85" i="1" s="1"/>
  <c r="AS84" i="1" s="1"/>
  <c r="AS83" i="1" s="1"/>
  <c r="AS82" i="1" s="1"/>
  <c r="AS81" i="1" s="1"/>
  <c r="AS80" i="1" s="1"/>
  <c r="AS79" i="1" s="1"/>
  <c r="BX93" i="1"/>
  <c r="DC61" i="1"/>
  <c r="DC45" i="1"/>
  <c r="BX77" i="1"/>
  <c r="DC49" i="1"/>
  <c r="BX81" i="1"/>
  <c r="AT67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DA47" i="1"/>
  <c r="BV79" i="1"/>
  <c r="DA50" i="1"/>
  <c r="BV82" i="1"/>
  <c r="CZ64" i="1"/>
  <c r="BT96" i="1" s="1"/>
  <c r="BU96" i="1"/>
  <c r="BX67" i="1" l="1"/>
  <c r="DC35" i="1"/>
  <c r="BW77" i="1"/>
  <c r="DB45" i="1"/>
  <c r="BW70" i="1"/>
  <c r="DB38" i="1"/>
  <c r="DB49" i="1"/>
  <c r="BW81" i="1"/>
  <c r="AS78" i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BW93" i="1"/>
  <c r="DB61" i="1"/>
  <c r="BW92" i="1"/>
  <c r="DB60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AQ82" i="1" s="1"/>
  <c r="AQ81" i="1" s="1"/>
  <c r="AQ80" i="1" s="1"/>
  <c r="AQ79" i="1" s="1"/>
  <c r="BX73" i="1"/>
  <c r="DC41" i="1"/>
  <c r="CZ50" i="1"/>
  <c r="BT82" i="1" s="1"/>
  <c r="BU82" i="1"/>
  <c r="CZ47" i="1"/>
  <c r="BT79" i="1" s="1"/>
  <c r="BU79" i="1"/>
  <c r="CZ58" i="1"/>
  <c r="BT90" i="1" s="1"/>
  <c r="BU90" i="1"/>
  <c r="CZ63" i="1"/>
  <c r="BT95" i="1" s="1"/>
  <c r="AN95" i="1" s="1"/>
  <c r="BU95" i="1"/>
  <c r="AO95" i="1" s="1"/>
  <c r="BV77" i="1" l="1"/>
  <c r="DA45" i="1"/>
  <c r="BV93" i="1"/>
  <c r="DA61" i="1"/>
  <c r="DA49" i="1"/>
  <c r="BV81" i="1"/>
  <c r="BV70" i="1"/>
  <c r="DA38" i="1"/>
  <c r="BW67" i="1"/>
  <c r="DB35" i="1"/>
  <c r="BV92" i="1"/>
  <c r="DA60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AP89" i="1" l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BV67" i="1"/>
  <c r="DA35" i="1"/>
  <c r="CZ45" i="1"/>
  <c r="BT77" i="1" s="1"/>
  <c r="BU77" i="1"/>
  <c r="CZ60" i="1"/>
  <c r="BT92" i="1" s="1"/>
  <c r="BU92" i="1"/>
  <c r="CZ38" i="1"/>
  <c r="BT70" i="1" s="1"/>
  <c r="BU70" i="1"/>
  <c r="CZ61" i="1"/>
  <c r="BT93" i="1" s="1"/>
  <c r="BU93" i="1"/>
  <c r="CZ49" i="1"/>
  <c r="BT81" i="1" s="1"/>
  <c r="BU81" i="1"/>
  <c r="AQ67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AP78" i="1" s="1"/>
  <c r="AP77" i="1" s="1"/>
  <c r="AP76" i="1" s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CZ35" i="1" l="1"/>
  <c r="BT67" i="1" s="1"/>
  <c r="BU67" i="1"/>
  <c r="AN91" i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AP75" i="1"/>
  <c r="AP74" i="1" s="1"/>
  <c r="AP73" i="1" s="1"/>
  <c r="AP72" i="1" s="1"/>
  <c r="AP71" i="1" s="1"/>
  <c r="AP70" i="1" s="1"/>
  <c r="AP69" i="1" s="1"/>
  <c r="AP68" i="1" s="1"/>
  <c r="AP67" i="1" s="1"/>
  <c r="BU73" i="1"/>
  <c r="CZ41" i="1"/>
  <c r="BT73" i="1" s="1"/>
  <c r="BU78" i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CZ46" i="1"/>
  <c r="BT78" i="1" s="1"/>
  <c r="BU75" i="1"/>
  <c r="CZ43" i="1"/>
  <c r="BT75" i="1" s="1"/>
  <c r="AN78" i="1" l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AN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AO67" i="1"/>
  <c r="DA67" i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  <c r="CZ67" i="1" l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</calcChain>
</file>

<file path=xl/sharedStrings.xml><?xml version="1.0" encoding="utf-8"?>
<sst xmlns="http://schemas.openxmlformats.org/spreadsheetml/2006/main" count="28" uniqueCount="25">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</sst>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03-46D6-9C5E-9ACABDF9F6EA}"/>
            </c:ext>
          </c:extLst>
        </c:ser>
        <c:ser>
          <c:idx val="0"/>
          <c:order val="1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0B-4686-8976-ECE83FEC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66888"/>
        <c:axId val="520074336"/>
      </c:scatterChart>
      <c:valAx>
        <c:axId val="52006688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835186692721705"/>
              <c:y val="0.91817872626905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0074336"/>
        <c:crosses val="autoZero"/>
        <c:crossBetween val="midCat"/>
      </c:valAx>
      <c:valAx>
        <c:axId val="52007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/>
                  <a:t>Т,</a:t>
                </a:r>
                <a:r>
                  <a:rPr lang="ru-RU" b="1" baseline="0"/>
                  <a:t> С</a:t>
                </a:r>
                <a:endParaRPr lang="ru-RU" b="1"/>
              </a:p>
            </c:rich>
          </c:tx>
          <c:layout>
            <c:manualLayout>
              <c:xMode val="edge"/>
              <c:yMode val="edge"/>
              <c:x val="1.2488848949338705E-2"/>
              <c:y val="9.51909587567441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006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1-D</a:t>
            </a:r>
            <a:endParaRPr lang="ru-RU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1864297368234371"/>
              <c:y val="0.91739277208185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Т,</a:t>
                </a:r>
                <a:r>
                  <a:rPr lang="ru-RU" b="1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С</a:t>
                </a:r>
                <a:endParaRPr lang="ru-RU" b="1">
                  <a:solidFill>
                    <a:schemeClr val="tx1">
                      <a:lumMod val="95000"/>
                      <a:lumOff val="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1.5765765765765764E-2"/>
              <c:y val="8.8052608849002428E-2"/>
            </c:manualLayout>
          </c:layout>
          <c:overlay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612320</xdr:colOff>
      <xdr:row>5</xdr:row>
      <xdr:rowOff>61231</xdr:rowOff>
    </xdr:from>
    <xdr:to>
      <xdr:col>48</xdr:col>
      <xdr:colOff>421820</xdr:colOff>
      <xdr:row>26</xdr:row>
      <xdr:rowOff>179613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250371</xdr:colOff>
      <xdr:row>5</xdr:row>
      <xdr:rowOff>32657</xdr:rowOff>
    </xdr:from>
    <xdr:to>
      <xdr:col>58</xdr:col>
      <xdr:colOff>402771</xdr:colOff>
      <xdr:row>26</xdr:row>
      <xdr:rowOff>112938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EB96"/>
  <sheetViews>
    <sheetView tabSelected="1" zoomScale="70" zoomScaleNormal="70" workbookViewId="0">
      <selection activeCell="E11" sqref="E11"/>
    </sheetView>
  </sheetViews>
  <sheetFormatPr defaultRowHeight="14.4" x14ac:dyDescent="0.3"/>
  <cols>
    <col min="39" max="39" width="11.6640625" bestFit="1" customWidth="1"/>
    <col min="71" max="71" width="11.6640625" bestFit="1" customWidth="1"/>
  </cols>
  <sheetData>
    <row r="1" spans="2:37" x14ac:dyDescent="0.3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2:37" x14ac:dyDescent="0.3">
      <c r="B2" s="3" t="s">
        <v>0</v>
      </c>
      <c r="C2" s="3">
        <v>0.1</v>
      </c>
      <c r="F2" s="9"/>
      <c r="G2" s="9">
        <v>1</v>
      </c>
      <c r="H2" s="9">
        <v>2</v>
      </c>
      <c r="I2" s="9">
        <v>3</v>
      </c>
      <c r="J2" s="9">
        <v>4</v>
      </c>
      <c r="K2" s="9">
        <v>5</v>
      </c>
      <c r="L2" s="9">
        <v>6</v>
      </c>
      <c r="M2" s="9">
        <v>7</v>
      </c>
      <c r="N2" s="9">
        <v>8</v>
      </c>
      <c r="O2" s="9">
        <v>9</v>
      </c>
      <c r="P2" s="9">
        <v>10</v>
      </c>
      <c r="Q2" s="9">
        <v>11</v>
      </c>
      <c r="R2" s="9">
        <v>12</v>
      </c>
      <c r="S2" s="9">
        <v>13</v>
      </c>
      <c r="T2" s="9">
        <v>14</v>
      </c>
      <c r="U2" s="9">
        <v>15</v>
      </c>
      <c r="V2" s="9">
        <v>16</v>
      </c>
      <c r="W2" s="9">
        <v>17</v>
      </c>
      <c r="X2" s="9">
        <v>18</v>
      </c>
      <c r="Y2" s="9">
        <v>19</v>
      </c>
      <c r="Z2" s="9">
        <v>20</v>
      </c>
      <c r="AA2" s="9">
        <v>21</v>
      </c>
      <c r="AB2" s="9">
        <v>22</v>
      </c>
      <c r="AC2" s="9">
        <v>23</v>
      </c>
      <c r="AD2" s="9">
        <v>24</v>
      </c>
      <c r="AE2" s="9">
        <v>25</v>
      </c>
      <c r="AF2" s="9">
        <v>26</v>
      </c>
      <c r="AG2" s="9">
        <v>27</v>
      </c>
      <c r="AH2" s="9">
        <v>28</v>
      </c>
      <c r="AI2" s="9">
        <v>29</v>
      </c>
      <c r="AJ2" s="9">
        <v>30</v>
      </c>
      <c r="AK2" s="9"/>
    </row>
    <row r="3" spans="2:37" x14ac:dyDescent="0.3">
      <c r="B3" s="3" t="s">
        <v>1</v>
      </c>
      <c r="C3" s="3">
        <v>0.1</v>
      </c>
      <c r="F3" s="9">
        <f t="shared" ref="F3:F29" si="1">F4+$C$5</f>
        <v>0.10000000000000007</v>
      </c>
      <c r="G3" s="10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10">
        <f>$D$14</f>
        <v>100</v>
      </c>
      <c r="AK3" s="9">
        <v>30</v>
      </c>
    </row>
    <row r="4" spans="2:37" x14ac:dyDescent="0.3">
      <c r="B4" s="3" t="s">
        <v>2</v>
      </c>
      <c r="C4" s="3">
        <f>C2/29</f>
        <v>3.4482758620689659E-3</v>
      </c>
      <c r="F4" s="9">
        <f t="shared" si="1"/>
        <v>9.6551724137931103E-2</v>
      </c>
      <c r="G4" s="10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10">
        <f t="shared" ref="AJ4:AJ32" si="3">$D$14</f>
        <v>100</v>
      </c>
      <c r="AK4" s="9">
        <v>29</v>
      </c>
    </row>
    <row r="5" spans="2:37" x14ac:dyDescent="0.3">
      <c r="B5" s="3" t="s">
        <v>3</v>
      </c>
      <c r="C5" s="3">
        <f>C3/29</f>
        <v>3.4482758620689659E-3</v>
      </c>
      <c r="F5" s="9">
        <f t="shared" si="1"/>
        <v>9.310344827586213E-2</v>
      </c>
      <c r="G5" s="10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10">
        <f t="shared" si="3"/>
        <v>100</v>
      </c>
      <c r="AK5" s="9">
        <v>28</v>
      </c>
    </row>
    <row r="6" spans="2:37" x14ac:dyDescent="0.3">
      <c r="B6" s="3" t="s">
        <v>4</v>
      </c>
      <c r="C6" s="3">
        <v>200</v>
      </c>
      <c r="D6">
        <v>201</v>
      </c>
      <c r="F6" s="9">
        <f t="shared" si="1"/>
        <v>8.9655172413793158E-2</v>
      </c>
      <c r="G6" s="10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10">
        <f t="shared" si="3"/>
        <v>100</v>
      </c>
      <c r="AK6" s="9">
        <v>27</v>
      </c>
    </row>
    <row r="7" spans="2:37" x14ac:dyDescent="0.3">
      <c r="B7" s="3" t="s">
        <v>5</v>
      </c>
      <c r="C7" s="3">
        <v>1</v>
      </c>
      <c r="F7" s="9">
        <f t="shared" si="1"/>
        <v>8.6206896551724185E-2</v>
      </c>
      <c r="G7" s="10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10">
        <f t="shared" si="3"/>
        <v>100</v>
      </c>
      <c r="AK7" s="9">
        <v>26</v>
      </c>
    </row>
    <row r="8" spans="2:37" x14ac:dyDescent="0.3">
      <c r="B8" s="3"/>
      <c r="C8" s="3"/>
      <c r="F8" s="9">
        <f t="shared" si="1"/>
        <v>8.2758620689655213E-2</v>
      </c>
      <c r="G8" s="10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10">
        <f t="shared" si="3"/>
        <v>100</v>
      </c>
      <c r="AK8" s="9">
        <v>25</v>
      </c>
    </row>
    <row r="9" spans="2:37" x14ac:dyDescent="0.3">
      <c r="B9" s="3" t="s">
        <v>6</v>
      </c>
      <c r="C9" s="3">
        <v>460</v>
      </c>
      <c r="F9" s="9">
        <f t="shared" si="1"/>
        <v>7.931034482758624E-2</v>
      </c>
      <c r="G9" s="10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10">
        <f t="shared" si="3"/>
        <v>100</v>
      </c>
      <c r="AK9" s="9">
        <v>24</v>
      </c>
    </row>
    <row r="10" spans="2:37" x14ac:dyDescent="0.3">
      <c r="B10" s="3" t="s">
        <v>7</v>
      </c>
      <c r="C10" s="3">
        <v>7800</v>
      </c>
      <c r="F10" s="9">
        <f t="shared" si="1"/>
        <v>7.5862068965517268E-2</v>
      </c>
      <c r="G10" s="10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10">
        <f t="shared" si="3"/>
        <v>100</v>
      </c>
      <c r="AK10" s="9">
        <v>23</v>
      </c>
    </row>
    <row r="11" spans="2:37" x14ac:dyDescent="0.3">
      <c r="B11" s="3" t="s">
        <v>8</v>
      </c>
      <c r="C11" s="3">
        <v>46</v>
      </c>
      <c r="F11" s="9">
        <f t="shared" si="1"/>
        <v>7.2413793103448296E-2</v>
      </c>
      <c r="G11" s="10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10">
        <f t="shared" si="3"/>
        <v>100</v>
      </c>
      <c r="AK11" s="9">
        <v>22</v>
      </c>
    </row>
    <row r="12" spans="2:37" x14ac:dyDescent="0.3">
      <c r="F12" s="9">
        <f t="shared" si="1"/>
        <v>6.8965517241379323E-2</v>
      </c>
      <c r="G12" s="10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10">
        <f t="shared" si="3"/>
        <v>100</v>
      </c>
      <c r="AK12" s="9">
        <v>21</v>
      </c>
    </row>
    <row r="13" spans="2:37" x14ac:dyDescent="0.3">
      <c r="B13" s="4" t="s">
        <v>9</v>
      </c>
      <c r="C13" s="4" t="s">
        <v>10</v>
      </c>
      <c r="D13" s="4" t="s">
        <v>11</v>
      </c>
      <c r="F13" s="9">
        <f t="shared" si="1"/>
        <v>6.5517241379310351E-2</v>
      </c>
      <c r="G13" s="10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10">
        <f t="shared" si="3"/>
        <v>100</v>
      </c>
      <c r="AK13" s="9">
        <v>20</v>
      </c>
    </row>
    <row r="14" spans="2:37" x14ac:dyDescent="0.3">
      <c r="B14" s="4"/>
      <c r="C14" s="4">
        <v>300</v>
      </c>
      <c r="D14" s="4">
        <v>100</v>
      </c>
      <c r="F14" s="9">
        <f t="shared" si="1"/>
        <v>6.2068965517241385E-2</v>
      </c>
      <c r="G14" s="10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10">
        <f t="shared" si="3"/>
        <v>100</v>
      </c>
      <c r="AK14" s="9">
        <v>19</v>
      </c>
    </row>
    <row r="15" spans="2:37" x14ac:dyDescent="0.3">
      <c r="F15" s="9">
        <f t="shared" si="1"/>
        <v>5.862068965517242E-2</v>
      </c>
      <c r="G15" s="10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10">
        <f t="shared" si="3"/>
        <v>100</v>
      </c>
      <c r="AK15" s="9">
        <v>18</v>
      </c>
    </row>
    <row r="16" spans="2:37" x14ac:dyDescent="0.3">
      <c r="B16" s="6" t="s">
        <v>12</v>
      </c>
      <c r="C16" s="6" t="s">
        <v>13</v>
      </c>
      <c r="D16" s="6">
        <f>C11/C4^2</f>
        <v>3868599.9999999991</v>
      </c>
      <c r="F16" s="9">
        <f t="shared" si="1"/>
        <v>5.5172413793103454E-2</v>
      </c>
      <c r="G16" s="10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10">
        <f t="shared" si="3"/>
        <v>100</v>
      </c>
      <c r="AK16" s="9">
        <v>17</v>
      </c>
    </row>
    <row r="17" spans="2:37" x14ac:dyDescent="0.3">
      <c r="B17" s="6"/>
      <c r="C17" s="6" t="s">
        <v>14</v>
      </c>
      <c r="D17" s="6">
        <f>2*C11/C4^2+C10*C9/C7</f>
        <v>11325199.999999998</v>
      </c>
      <c r="F17" s="9">
        <f t="shared" si="1"/>
        <v>5.1724137931034489E-2</v>
      </c>
      <c r="G17" s="10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10">
        <f t="shared" si="3"/>
        <v>100</v>
      </c>
      <c r="AK17" s="9">
        <v>16</v>
      </c>
    </row>
    <row r="18" spans="2:37" x14ac:dyDescent="0.3">
      <c r="B18" s="6"/>
      <c r="C18" s="6" t="s">
        <v>15</v>
      </c>
      <c r="D18" s="6">
        <f>D16</f>
        <v>3868599.9999999991</v>
      </c>
      <c r="F18" s="9">
        <f t="shared" si="1"/>
        <v>4.8275862068965524E-2</v>
      </c>
      <c r="G18" s="10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10">
        <f t="shared" si="3"/>
        <v>100</v>
      </c>
      <c r="AK18" s="9">
        <v>15</v>
      </c>
    </row>
    <row r="19" spans="2:37" x14ac:dyDescent="0.3">
      <c r="F19" s="9">
        <f t="shared" si="1"/>
        <v>4.4827586206896558E-2</v>
      </c>
      <c r="G19" s="10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10">
        <f t="shared" si="3"/>
        <v>100</v>
      </c>
      <c r="AK19" s="9">
        <v>14</v>
      </c>
    </row>
    <row r="20" spans="2:37" x14ac:dyDescent="0.3">
      <c r="B20" s="8" t="s">
        <v>16</v>
      </c>
      <c r="C20" s="8" t="s">
        <v>13</v>
      </c>
      <c r="D20" s="8">
        <f>C11/C5^2</f>
        <v>3868599.9999999991</v>
      </c>
      <c r="F20" s="9">
        <f t="shared" si="1"/>
        <v>4.1379310344827593E-2</v>
      </c>
      <c r="G20" s="10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10">
        <f t="shared" si="3"/>
        <v>100</v>
      </c>
      <c r="AK20" s="9">
        <v>13</v>
      </c>
    </row>
    <row r="21" spans="2:37" x14ac:dyDescent="0.3">
      <c r="B21" s="8"/>
      <c r="C21" s="8" t="s">
        <v>14</v>
      </c>
      <c r="D21" s="8">
        <f>2*C11/C5^2+C10*C9/C7</f>
        <v>11325199.999999998</v>
      </c>
      <c r="F21" s="9">
        <f t="shared" si="1"/>
        <v>3.7931034482758627E-2</v>
      </c>
      <c r="G21" s="10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10">
        <f t="shared" si="3"/>
        <v>100</v>
      </c>
      <c r="AK21" s="9">
        <v>12</v>
      </c>
    </row>
    <row r="22" spans="2:37" x14ac:dyDescent="0.3">
      <c r="B22" s="8"/>
      <c r="C22" s="8" t="s">
        <v>15</v>
      </c>
      <c r="D22" s="8">
        <f>D20</f>
        <v>3868599.9999999991</v>
      </c>
      <c r="F22" s="9">
        <f t="shared" si="1"/>
        <v>3.4482758620689662E-2</v>
      </c>
      <c r="G22" s="10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10">
        <f t="shared" si="3"/>
        <v>100</v>
      </c>
      <c r="AK22" s="9">
        <v>11</v>
      </c>
    </row>
    <row r="23" spans="2:37" x14ac:dyDescent="0.3">
      <c r="F23" s="9">
        <f t="shared" si="1"/>
        <v>3.1034482758620693E-2</v>
      </c>
      <c r="G23" s="10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10">
        <f t="shared" si="3"/>
        <v>100</v>
      </c>
      <c r="AK23" s="9">
        <v>10</v>
      </c>
    </row>
    <row r="24" spans="2:37" x14ac:dyDescent="0.3">
      <c r="F24" s="9">
        <f t="shared" si="1"/>
        <v>2.7586206896551727E-2</v>
      </c>
      <c r="G24" s="10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10">
        <f t="shared" si="3"/>
        <v>100</v>
      </c>
      <c r="AK24" s="9">
        <v>9</v>
      </c>
    </row>
    <row r="25" spans="2:37" x14ac:dyDescent="0.3">
      <c r="F25" s="9">
        <f t="shared" si="1"/>
        <v>2.4137931034482762E-2</v>
      </c>
      <c r="G25" s="10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10">
        <f t="shared" si="3"/>
        <v>100</v>
      </c>
      <c r="AK25" s="9">
        <v>8</v>
      </c>
    </row>
    <row r="26" spans="2:37" x14ac:dyDescent="0.3">
      <c r="F26" s="9">
        <f t="shared" si="1"/>
        <v>2.0689655172413796E-2</v>
      </c>
      <c r="G26" s="10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10">
        <f t="shared" si="3"/>
        <v>100</v>
      </c>
      <c r="AK26" s="9">
        <v>7</v>
      </c>
    </row>
    <row r="27" spans="2:37" x14ac:dyDescent="0.3">
      <c r="F27" s="9">
        <f t="shared" si="1"/>
        <v>1.7241379310344831E-2</v>
      </c>
      <c r="G27" s="10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10">
        <f t="shared" si="3"/>
        <v>100</v>
      </c>
      <c r="AK27" s="9">
        <v>6</v>
      </c>
    </row>
    <row r="28" spans="2:37" x14ac:dyDescent="0.3">
      <c r="F28" s="9">
        <f t="shared" si="1"/>
        <v>1.3793103448275864E-2</v>
      </c>
      <c r="G28" s="10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10">
        <f t="shared" si="3"/>
        <v>100</v>
      </c>
      <c r="AK28" s="9">
        <v>5</v>
      </c>
    </row>
    <row r="29" spans="2:37" x14ac:dyDescent="0.3">
      <c r="F29" s="9">
        <f t="shared" si="1"/>
        <v>1.0344827586206898E-2</v>
      </c>
      <c r="G29" s="10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10">
        <f t="shared" si="3"/>
        <v>100</v>
      </c>
      <c r="AK29" s="9">
        <v>4</v>
      </c>
    </row>
    <row r="30" spans="2:37" x14ac:dyDescent="0.3">
      <c r="F30" s="9">
        <f>F31+$C$5</f>
        <v>6.8965517241379318E-3</v>
      </c>
      <c r="G30" s="10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10">
        <f t="shared" si="3"/>
        <v>100</v>
      </c>
      <c r="AK30" s="9">
        <v>3</v>
      </c>
    </row>
    <row r="31" spans="2:37" x14ac:dyDescent="0.3">
      <c r="F31" s="9">
        <f>F32+$C$5</f>
        <v>3.4482758620689659E-3</v>
      </c>
      <c r="G31" s="10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10">
        <f t="shared" si="3"/>
        <v>100</v>
      </c>
      <c r="AK31" s="9">
        <v>2</v>
      </c>
    </row>
    <row r="32" spans="2:37" x14ac:dyDescent="0.3">
      <c r="F32" s="9">
        <v>0</v>
      </c>
      <c r="G32" s="10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10">
        <f t="shared" si="3"/>
        <v>100</v>
      </c>
      <c r="AK32" s="9">
        <v>1</v>
      </c>
    </row>
    <row r="34" spans="4:132" x14ac:dyDescent="0.3">
      <c r="D34" s="11" t="s">
        <v>17</v>
      </c>
      <c r="E34" s="12"/>
      <c r="F34" s="7"/>
      <c r="G34" s="7">
        <v>30</v>
      </c>
      <c r="H34" s="7">
        <v>29</v>
      </c>
      <c r="I34" s="7">
        <v>28</v>
      </c>
      <c r="J34" s="7">
        <v>27</v>
      </c>
      <c r="K34" s="7">
        <v>26</v>
      </c>
      <c r="L34" s="7">
        <v>25</v>
      </c>
      <c r="M34" s="7">
        <v>24</v>
      </c>
      <c r="N34" s="7">
        <v>23</v>
      </c>
      <c r="O34" s="7">
        <v>22</v>
      </c>
      <c r="P34" s="7">
        <v>21</v>
      </c>
      <c r="Q34" s="7">
        <v>20</v>
      </c>
      <c r="R34" s="7">
        <v>19</v>
      </c>
      <c r="S34" s="7">
        <v>18</v>
      </c>
      <c r="T34" s="7">
        <v>17</v>
      </c>
      <c r="U34" s="7">
        <v>16</v>
      </c>
      <c r="V34" s="7">
        <v>15</v>
      </c>
      <c r="W34" s="7">
        <v>14</v>
      </c>
      <c r="X34" s="7">
        <v>13</v>
      </c>
      <c r="Y34" s="7">
        <v>12</v>
      </c>
      <c r="Z34" s="7">
        <v>11</v>
      </c>
      <c r="AA34" s="7">
        <v>10</v>
      </c>
      <c r="AB34" s="7">
        <v>9</v>
      </c>
      <c r="AC34" s="7">
        <v>8</v>
      </c>
      <c r="AD34" s="7">
        <v>7</v>
      </c>
      <c r="AE34" s="7">
        <v>6</v>
      </c>
      <c r="AF34" s="7">
        <v>5</v>
      </c>
      <c r="AG34" s="7">
        <v>4</v>
      </c>
      <c r="AH34" s="7">
        <v>3</v>
      </c>
      <c r="AI34" s="7">
        <v>2</v>
      </c>
      <c r="AJ34" s="7">
        <v>1</v>
      </c>
      <c r="AK34" s="11" t="s">
        <v>19</v>
      </c>
      <c r="AL34" s="11"/>
      <c r="AM34" s="7">
        <v>30</v>
      </c>
      <c r="AN34" s="7">
        <v>29</v>
      </c>
      <c r="AO34" s="7">
        <v>28</v>
      </c>
      <c r="AP34" s="7">
        <v>27</v>
      </c>
      <c r="AQ34" s="7">
        <v>26</v>
      </c>
      <c r="AR34" s="7">
        <v>25</v>
      </c>
      <c r="AS34" s="7">
        <v>24</v>
      </c>
      <c r="AT34" s="7">
        <v>23</v>
      </c>
      <c r="AU34" s="7">
        <v>22</v>
      </c>
      <c r="AV34" s="7">
        <v>21</v>
      </c>
      <c r="AW34" s="7">
        <v>20</v>
      </c>
      <c r="AX34" s="7">
        <v>19</v>
      </c>
      <c r="AY34" s="7">
        <v>18</v>
      </c>
      <c r="AZ34" s="7">
        <v>17</v>
      </c>
      <c r="BA34" s="7">
        <v>16</v>
      </c>
      <c r="BB34" s="7">
        <v>15</v>
      </c>
      <c r="BC34" s="7">
        <v>14</v>
      </c>
      <c r="BD34" s="7">
        <v>13</v>
      </c>
      <c r="BE34" s="7">
        <v>12</v>
      </c>
      <c r="BF34" s="7">
        <v>11</v>
      </c>
      <c r="BG34" s="7">
        <v>10</v>
      </c>
      <c r="BH34" s="7">
        <v>9</v>
      </c>
      <c r="BI34" s="7">
        <v>8</v>
      </c>
      <c r="BJ34" s="7">
        <v>7</v>
      </c>
      <c r="BK34" s="7">
        <v>6</v>
      </c>
      <c r="BL34" s="7">
        <v>5</v>
      </c>
      <c r="BM34" s="7">
        <v>4</v>
      </c>
      <c r="BN34" s="7">
        <v>3</v>
      </c>
      <c r="BO34" s="7">
        <v>2</v>
      </c>
      <c r="BP34" s="7">
        <v>1</v>
      </c>
      <c r="BQ34" s="11" t="s">
        <v>21</v>
      </c>
      <c r="BR34" s="11"/>
      <c r="BS34" s="7">
        <v>30</v>
      </c>
      <c r="BT34" s="7">
        <v>29</v>
      </c>
      <c r="BU34" s="7">
        <v>28</v>
      </c>
      <c r="BV34" s="7">
        <v>27</v>
      </c>
      <c r="BW34" s="7">
        <v>26</v>
      </c>
      <c r="BX34" s="7">
        <v>25</v>
      </c>
      <c r="BY34" s="7">
        <v>24</v>
      </c>
      <c r="BZ34" s="7">
        <v>23</v>
      </c>
      <c r="CA34" s="7">
        <v>22</v>
      </c>
      <c r="CB34" s="7">
        <v>21</v>
      </c>
      <c r="CC34" s="7">
        <v>20</v>
      </c>
      <c r="CD34" s="7">
        <v>19</v>
      </c>
      <c r="CE34" s="7">
        <v>18</v>
      </c>
      <c r="CF34" s="7">
        <v>17</v>
      </c>
      <c r="CG34" s="7">
        <v>16</v>
      </c>
      <c r="CH34" s="7">
        <v>15</v>
      </c>
      <c r="CI34" s="7">
        <v>14</v>
      </c>
      <c r="CJ34" s="7">
        <v>13</v>
      </c>
      <c r="CK34" s="7">
        <v>12</v>
      </c>
      <c r="CL34" s="7">
        <v>11</v>
      </c>
      <c r="CM34" s="7">
        <v>10</v>
      </c>
      <c r="CN34" s="7">
        <v>9</v>
      </c>
      <c r="CO34" s="7">
        <v>8</v>
      </c>
      <c r="CP34" s="7">
        <v>7</v>
      </c>
      <c r="CQ34" s="7">
        <v>6</v>
      </c>
      <c r="CR34" s="7">
        <v>5</v>
      </c>
      <c r="CS34" s="7">
        <v>4</v>
      </c>
      <c r="CT34" s="7">
        <v>3</v>
      </c>
      <c r="CU34" s="7">
        <v>2</v>
      </c>
      <c r="CV34" s="7">
        <v>1</v>
      </c>
      <c r="CW34" s="11" t="s">
        <v>23</v>
      </c>
      <c r="CX34" s="11"/>
      <c r="CY34" s="7">
        <v>30</v>
      </c>
      <c r="CZ34" s="7">
        <v>29</v>
      </c>
      <c r="DA34" s="7">
        <v>28</v>
      </c>
      <c r="DB34" s="7">
        <v>27</v>
      </c>
      <c r="DC34" s="7">
        <v>26</v>
      </c>
      <c r="DD34" s="7">
        <v>25</v>
      </c>
      <c r="DE34" s="7">
        <v>24</v>
      </c>
      <c r="DF34" s="7">
        <v>23</v>
      </c>
      <c r="DG34" s="7">
        <v>22</v>
      </c>
      <c r="DH34" s="7">
        <v>21</v>
      </c>
      <c r="DI34" s="7">
        <v>20</v>
      </c>
      <c r="DJ34" s="7">
        <v>19</v>
      </c>
      <c r="DK34" s="7">
        <v>18</v>
      </c>
      <c r="DL34" s="7">
        <v>17</v>
      </c>
      <c r="DM34" s="7">
        <v>16</v>
      </c>
      <c r="DN34" s="7">
        <v>15</v>
      </c>
      <c r="DO34" s="7">
        <v>14</v>
      </c>
      <c r="DP34" s="7">
        <v>13</v>
      </c>
      <c r="DQ34" s="7">
        <v>12</v>
      </c>
      <c r="DR34" s="7">
        <v>11</v>
      </c>
      <c r="DS34" s="7">
        <v>10</v>
      </c>
      <c r="DT34" s="7">
        <v>9</v>
      </c>
      <c r="DU34" s="7">
        <v>8</v>
      </c>
      <c r="DV34" s="7">
        <v>7</v>
      </c>
      <c r="DW34" s="7">
        <v>6</v>
      </c>
      <c r="DX34" s="7">
        <v>5</v>
      </c>
      <c r="DY34" s="7">
        <v>4</v>
      </c>
      <c r="DZ34" s="7">
        <v>3</v>
      </c>
      <c r="EA34" s="7">
        <v>2</v>
      </c>
      <c r="EB34" s="7">
        <v>1</v>
      </c>
    </row>
    <row r="35" spans="4:132" x14ac:dyDescent="0.3">
      <c r="D35" s="12"/>
      <c r="E35" s="12"/>
      <c r="F35" s="7">
        <v>30</v>
      </c>
      <c r="G35" s="2">
        <f>0</f>
        <v>0</v>
      </c>
      <c r="H35" s="2">
        <f>$D$16/($D$17-$D$18*G35)</f>
        <v>0.3415922014622258</v>
      </c>
      <c r="I35" s="2">
        <f t="shared" ref="I35:AJ35" si="4">$D$16/($D$17-$D$18*H35)</f>
        <v>0.3867162803971414</v>
      </c>
      <c r="J35" s="2">
        <f t="shared" si="4"/>
        <v>0.39358441341045353</v>
      </c>
      <c r="K35" s="2">
        <f t="shared" si="4"/>
        <v>0.39465123071155611</v>
      </c>
      <c r="L35" s="2">
        <f t="shared" si="4"/>
        <v>0.39481745705771337</v>
      </c>
      <c r="M35" s="2">
        <f t="shared" si="4"/>
        <v>0.39484337025824801</v>
      </c>
      <c r="N35" s="2">
        <f t="shared" si="4"/>
        <v>0.39484741020089792</v>
      </c>
      <c r="O35" s="2">
        <f t="shared" si="4"/>
        <v>0.39484804004704999</v>
      </c>
      <c r="P35" s="2">
        <f t="shared" si="4"/>
        <v>0.39484813824322279</v>
      </c>
      <c r="Q35" s="2">
        <f t="shared" si="4"/>
        <v>0.39484815355250286</v>
      </c>
      <c r="R35" s="2">
        <f t="shared" si="4"/>
        <v>0.39484815593929717</v>
      </c>
      <c r="S35" s="2">
        <f t="shared" si="4"/>
        <v>0.39484815631141046</v>
      </c>
      <c r="T35" s="2">
        <f t="shared" si="4"/>
        <v>0.39484815636942483</v>
      </c>
      <c r="U35" s="2">
        <f t="shared" si="4"/>
        <v>0.39484815637846954</v>
      </c>
      <c r="V35" s="2">
        <f t="shared" si="4"/>
        <v>0.39484815637987963</v>
      </c>
      <c r="W35" s="2">
        <f t="shared" si="4"/>
        <v>0.39484815638009951</v>
      </c>
      <c r="X35" s="2">
        <f t="shared" si="4"/>
        <v>0.39484815638013382</v>
      </c>
      <c r="Y35" s="2">
        <f t="shared" si="4"/>
        <v>0.39484815638013915</v>
      </c>
      <c r="Z35" s="2">
        <f t="shared" si="4"/>
        <v>0.39484815638013998</v>
      </c>
      <c r="AA35" s="2">
        <f t="shared" si="4"/>
        <v>0.39484815638014015</v>
      </c>
      <c r="AB35" s="2">
        <f t="shared" si="4"/>
        <v>0.39484815638014015</v>
      </c>
      <c r="AC35" s="2">
        <f t="shared" si="4"/>
        <v>0.39484815638014015</v>
      </c>
      <c r="AD35" s="2">
        <f t="shared" si="4"/>
        <v>0.39484815638014015</v>
      </c>
      <c r="AE35" s="2">
        <f t="shared" si="4"/>
        <v>0.39484815638014015</v>
      </c>
      <c r="AF35" s="2">
        <f t="shared" si="4"/>
        <v>0.39484815638014015</v>
      </c>
      <c r="AG35" s="2">
        <f t="shared" si="4"/>
        <v>0.39484815638014015</v>
      </c>
      <c r="AH35" s="2">
        <f t="shared" si="4"/>
        <v>0.39484815638014015</v>
      </c>
      <c r="AI35" s="2">
        <f t="shared" si="4"/>
        <v>0.39484815638014015</v>
      </c>
      <c r="AJ35" s="2">
        <f t="shared" si="4"/>
        <v>0.39484815638014015</v>
      </c>
      <c r="AK35" s="11"/>
      <c r="AL35" s="11"/>
      <c r="AM35" s="2">
        <f>G3</f>
        <v>300</v>
      </c>
      <c r="AN35" s="2">
        <f>(AM35*$D$18-BT35)/($D$17-$D$18*G35)</f>
        <v>194.63948358007124</v>
      </c>
      <c r="AO35" s="2">
        <f t="shared" ref="AO35:BP35" si="5">(AN35*$D$18-BU35)/($D$17-$D$18*H35)</f>
        <v>176.35218235731071</v>
      </c>
      <c r="AP35" s="2">
        <f t="shared" si="5"/>
        <v>168.99318078738457</v>
      </c>
      <c r="AQ35" s="2">
        <f t="shared" si="5"/>
        <v>163.27257344001396</v>
      </c>
      <c r="AR35" s="2">
        <f t="shared" si="5"/>
        <v>157.84370074676141</v>
      </c>
      <c r="AS35" s="2">
        <f t="shared" si="5"/>
        <v>152.51638077302985</v>
      </c>
      <c r="AT35" s="2">
        <f t="shared" si="5"/>
        <v>147.27328137194453</v>
      </c>
      <c r="AU35" s="2">
        <f t="shared" si="5"/>
        <v>142.12229799922727</v>
      </c>
      <c r="AV35" s="2">
        <f t="shared" si="5"/>
        <v>137.07419251222782</v>
      </c>
      <c r="AW35" s="2">
        <f t="shared" si="5"/>
        <v>132.1391120999707</v>
      </c>
      <c r="AX35" s="2">
        <f t="shared" si="5"/>
        <v>127.32596527065606</v>
      </c>
      <c r="AY35" s="2">
        <f t="shared" si="5"/>
        <v>122.6422416283374</v>
      </c>
      <c r="AZ35" s="2">
        <f t="shared" si="5"/>
        <v>118.0939129953256</v>
      </c>
      <c r="BA35" s="2">
        <f t="shared" si="5"/>
        <v>113.68536215599831</v>
      </c>
      <c r="BB35" s="2">
        <f t="shared" si="5"/>
        <v>109.41933178229917</v>
      </c>
      <c r="BC35" s="2">
        <f t="shared" si="5"/>
        <v>105.29689287247901</v>
      </c>
      <c r="BD35" s="2">
        <f t="shared" si="5"/>
        <v>101.31743285708193</v>
      </c>
      <c r="BE35" s="2">
        <f t="shared" si="5"/>
        <v>97.47866345237108</v>
      </c>
      <c r="BF35" s="2">
        <f t="shared" si="5"/>
        <v>93.77664813347198</v>
      </c>
      <c r="BG35" s="2">
        <f t="shared" si="5"/>
        <v>90.205848874334976</v>
      </c>
      <c r="BH35" s="2">
        <f t="shared" si="5"/>
        <v>86.759191578956248</v>
      </c>
      <c r="BI35" s="2">
        <f t="shared" si="5"/>
        <v>83.428149413208601</v>
      </c>
      <c r="BJ35" s="2">
        <f t="shared" si="5"/>
        <v>80.202843041847117</v>
      </c>
      <c r="BK35" s="2">
        <f t="shared" si="5"/>
        <v>77.072156582989933</v>
      </c>
      <c r="BL35" s="2">
        <f t="shared" si="5"/>
        <v>74.023867914617796</v>
      </c>
      <c r="BM35" s="2">
        <f t="shared" si="5"/>
        <v>71.04479180616822</v>
      </c>
      <c r="BN35" s="2">
        <f t="shared" si="5"/>
        <v>68.120934204695089</v>
      </c>
      <c r="BO35" s="2">
        <f t="shared" si="5"/>
        <v>65.237655880693268</v>
      </c>
      <c r="BP35" s="2">
        <f t="shared" si="5"/>
        <v>62.379843534705273</v>
      </c>
      <c r="BQ35" s="11"/>
      <c r="BR35" s="11"/>
      <c r="BS35" s="2">
        <f>-$C$10*$C$9*G3/$C$7</f>
        <v>-1076400000</v>
      </c>
      <c r="BT35" s="2">
        <f t="shared" ref="BT35:CS44" si="6">-$C$10*$C$9*H3/$C$7</f>
        <v>-1043751079.4410228</v>
      </c>
      <c r="BU35" s="2">
        <f t="shared" si="6"/>
        <v>-1011194914.3075638</v>
      </c>
      <c r="BV35" s="2">
        <f t="shared" si="6"/>
        <v>-978823168.47673595</v>
      </c>
      <c r="BW35" s="2">
        <f t="shared" si="6"/>
        <v>-946725335.71686077</v>
      </c>
      <c r="BX35" s="2">
        <f t="shared" si="6"/>
        <v>-914987686.94191504</v>
      </c>
      <c r="BY35" s="2">
        <f t="shared" si="6"/>
        <v>-883692255.78758407</v>
      </c>
      <c r="BZ35" s="2">
        <f t="shared" si="6"/>
        <v>-852915874.54128158</v>
      </c>
      <c r="CA35" s="2">
        <f t="shared" si="6"/>
        <v>-822729271.83656216</v>
      </c>
      <c r="CB35" s="2">
        <f t="shared" si="6"/>
        <v>-793196242.76157045</v>
      </c>
      <c r="CC35" s="2">
        <f t="shared" si="6"/>
        <v>-764372901.14223433</v>
      </c>
      <c r="CD35" s="2">
        <f t="shared" si="6"/>
        <v>-736307022.75608671</v>
      </c>
      <c r="CE35" s="2">
        <f t="shared" si="6"/>
        <v>-709037487.12560725</v>
      </c>
      <c r="CF35" s="2">
        <f t="shared" si="6"/>
        <v>-682593824.34571707</v>
      </c>
      <c r="CG35" s="2">
        <f t="shared" si="6"/>
        <v>-656995872.13431835</v>
      </c>
      <c r="CH35" s="2">
        <f t="shared" si="6"/>
        <v>-632253546.97400951</v>
      </c>
      <c r="CI35" s="2">
        <f t="shared" si="6"/>
        <v>-608366731.85413671</v>
      </c>
      <c r="CJ35" s="2">
        <f t="shared" si="6"/>
        <v>-585325281.74208224</v>
      </c>
      <c r="CK35" s="2">
        <f t="shared" si="6"/>
        <v>-563109146.52795744</v>
      </c>
      <c r="CL35" s="2">
        <f t="shared" si="6"/>
        <v>-541688609.81410158</v>
      </c>
      <c r="CM35" s="2">
        <f t="shared" si="6"/>
        <v>-521024640.57584959</v>
      </c>
      <c r="CN35" s="2">
        <f t="shared" si="6"/>
        <v>-501069353.41811317</v>
      </c>
      <c r="CO35" s="2">
        <f t="shared" si="6"/>
        <v>-481766571.90763271</v>
      </c>
      <c r="CP35" s="2">
        <f t="shared" si="6"/>
        <v>-463052488.28660542</v>
      </c>
      <c r="CQ35" s="2">
        <f t="shared" si="6"/>
        <v>-444856411.78191113</v>
      </c>
      <c r="CR35" s="2">
        <f t="shared" si="6"/>
        <v>-427101596.72635102</v>
      </c>
      <c r="CS35" s="2">
        <f t="shared" si="6"/>
        <v>-409706140.81397128</v>
      </c>
      <c r="CT35" s="2">
        <f>-$C$10*$C$9*AH3/$C$7</f>
        <v>-392583943.02920806</v>
      </c>
      <c r="CU35" s="2">
        <f t="shared" ref="CU35:CV50" si="7">-$C$10*$C$9*AI3/$C$7</f>
        <v>-375645710.12657744</v>
      </c>
      <c r="CV35" s="2">
        <f t="shared" si="7"/>
        <v>-358800000</v>
      </c>
      <c r="CW35" s="11"/>
      <c r="CX35" s="11"/>
      <c r="CY35" s="2">
        <f>G3</f>
        <v>300</v>
      </c>
      <c r="CZ35" s="2">
        <f>H35*DA35+AN35</f>
        <v>290.92804791748335</v>
      </c>
      <c r="DA35" s="2">
        <f t="shared" ref="DA35:EA35" si="8">I35*DB35+AO35</f>
        <v>281.88162354186517</v>
      </c>
      <c r="DB35" s="2">
        <f t="shared" si="8"/>
        <v>272.88595420958268</v>
      </c>
      <c r="DC35" s="2">
        <f t="shared" si="8"/>
        <v>263.965670088293</v>
      </c>
      <c r="DD35" s="2">
        <f t="shared" si="8"/>
        <v>255.14451447859264</v>
      </c>
      <c r="DE35" s="2">
        <f t="shared" si="8"/>
        <v>246.44506465581142</v>
      </c>
      <c r="DF35" s="2">
        <f t="shared" si="8"/>
        <v>237.88846656168329</v>
      </c>
      <c r="DG35" s="2">
        <f t="shared" si="8"/>
        <v>229.49418648493571</v>
      </c>
      <c r="DH35" s="2">
        <f t="shared" si="8"/>
        <v>221.27978266093766</v>
      </c>
      <c r="DI35" s="2">
        <f t="shared" si="8"/>
        <v>213.26069947641486</v>
      </c>
      <c r="DJ35" s="2">
        <f t="shared" si="8"/>
        <v>205.45008668923009</v>
      </c>
      <c r="DK35" s="2">
        <f t="shared" si="8"/>
        <v>197.85864576909569</v>
      </c>
      <c r="DL35" s="2">
        <f t="shared" si="8"/>
        <v>190.49450513689698</v>
      </c>
      <c r="DM35" s="2">
        <f t="shared" si="8"/>
        <v>183.36312573239545</v>
      </c>
      <c r="DN35" s="2">
        <f t="shared" si="8"/>
        <v>176.4672379769444</v>
      </c>
      <c r="DO35" s="2">
        <f t="shared" si="8"/>
        <v>169.80681082410598</v>
      </c>
      <c r="DP35" s="2">
        <f t="shared" si="8"/>
        <v>163.37905321134815</v>
      </c>
      <c r="DQ35" s="2">
        <f t="shared" si="8"/>
        <v>157.17844784494162</v>
      </c>
      <c r="DR35" s="2">
        <f t="shared" si="8"/>
        <v>151.19681687229331</v>
      </c>
      <c r="DS35" s="2">
        <f t="shared" si="8"/>
        <v>145.42341862561489</v>
      </c>
      <c r="DT35" s="2">
        <f t="shared" si="8"/>
        <v>139.84507426221637</v>
      </c>
      <c r="DU35" s="2">
        <f t="shared" si="8"/>
        <v>134.44632278376821</v>
      </c>
      <c r="DV35" s="2">
        <f t="shared" si="8"/>
        <v>129.20960259326085</v>
      </c>
      <c r="DW35" s="2">
        <f t="shared" si="8"/>
        <v>124.1154574474763</v>
      </c>
      <c r="DX35" s="2">
        <f t="shared" si="8"/>
        <v>119.14276438762303</v>
      </c>
      <c r="DY35" s="2">
        <f t="shared" si="8"/>
        <v>114.26898098409001</v>
      </c>
      <c r="DZ35" s="2">
        <f t="shared" si="8"/>
        <v>109.4704090154284</v>
      </c>
      <c r="EA35" s="2">
        <f t="shared" si="8"/>
        <v>104.72247151870728</v>
      </c>
      <c r="EB35" s="2">
        <f>AJ3</f>
        <v>100</v>
      </c>
    </row>
    <row r="36" spans="4:132" x14ac:dyDescent="0.3">
      <c r="D36" s="12"/>
      <c r="E36" s="12"/>
      <c r="F36" s="7">
        <v>29</v>
      </c>
      <c r="G36" s="2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">
        <f t="shared" si="9"/>
        <v>0.39484815638014015</v>
      </c>
      <c r="AK36" s="11"/>
      <c r="AL36" s="11"/>
      <c r="AM36" s="2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">
        <f t="shared" ref="BP36:BP64" si="39">(BO36*$D$18-CV36)/($D$17-$D$18*AI36)</f>
        <v>62.379843534705273</v>
      </c>
      <c r="BQ36" s="11"/>
      <c r="BR36" s="11"/>
      <c r="BS36" s="2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">
        <f t="shared" si="7"/>
        <v>-358800000</v>
      </c>
      <c r="CW36" s="11"/>
      <c r="CX36" s="11"/>
      <c r="CY36" s="2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">
        <f t="shared" ref="EB36:EB63" si="71">AJ4</f>
        <v>100</v>
      </c>
    </row>
    <row r="37" spans="4:132" x14ac:dyDescent="0.3">
      <c r="D37" s="12"/>
      <c r="E37" s="12"/>
      <c r="F37" s="7">
        <v>28</v>
      </c>
      <c r="G37" s="2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">
        <f t="shared" si="72"/>
        <v>0.39484815638014015</v>
      </c>
      <c r="AK37" s="11"/>
      <c r="AL37" s="11"/>
      <c r="AM37" s="2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">
        <f t="shared" si="39"/>
        <v>62.379843534705273</v>
      </c>
      <c r="BQ37" s="11"/>
      <c r="BR37" s="11"/>
      <c r="BS37" s="2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">
        <f t="shared" si="7"/>
        <v>-358800000</v>
      </c>
      <c r="CW37" s="11"/>
      <c r="CX37" s="11"/>
      <c r="CY37" s="2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">
        <f t="shared" si="71"/>
        <v>100</v>
      </c>
    </row>
    <row r="38" spans="4:132" x14ac:dyDescent="0.3">
      <c r="D38" s="12"/>
      <c r="E38" s="12"/>
      <c r="F38" s="7">
        <v>27</v>
      </c>
      <c r="G38" s="2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">
        <f t="shared" si="73"/>
        <v>0.39484815638014015</v>
      </c>
      <c r="AK38" s="11"/>
      <c r="AL38" s="11"/>
      <c r="AM38" s="2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">
        <f t="shared" si="39"/>
        <v>62.379843534705273</v>
      </c>
      <c r="BQ38" s="11"/>
      <c r="BR38" s="11"/>
      <c r="BS38" s="2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">
        <f t="shared" si="7"/>
        <v>-358800000</v>
      </c>
      <c r="CW38" s="11"/>
      <c r="CX38" s="11"/>
      <c r="CY38" s="2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">
        <f t="shared" si="71"/>
        <v>100</v>
      </c>
    </row>
    <row r="39" spans="4:132" x14ac:dyDescent="0.3">
      <c r="D39" s="12"/>
      <c r="E39" s="12"/>
      <c r="F39" s="7">
        <v>26</v>
      </c>
      <c r="G39" s="2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">
        <f t="shared" si="74"/>
        <v>0.39484815638014015</v>
      </c>
      <c r="AK39" s="11"/>
      <c r="AL39" s="11"/>
      <c r="AM39" s="2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">
        <f t="shared" si="39"/>
        <v>62.379843534705273</v>
      </c>
      <c r="BQ39" s="11"/>
      <c r="BR39" s="11"/>
      <c r="BS39" s="2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">
        <f t="shared" si="7"/>
        <v>-358800000</v>
      </c>
      <c r="CW39" s="11"/>
      <c r="CX39" s="11"/>
      <c r="CY39" s="2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">
        <f t="shared" si="71"/>
        <v>100</v>
      </c>
    </row>
    <row r="40" spans="4:132" x14ac:dyDescent="0.3">
      <c r="D40" s="12"/>
      <c r="E40" s="12"/>
      <c r="F40" s="7">
        <v>25</v>
      </c>
      <c r="G40" s="2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">
        <f t="shared" si="75"/>
        <v>0.39484815638014015</v>
      </c>
      <c r="AK40" s="11"/>
      <c r="AL40" s="11"/>
      <c r="AM40" s="2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">
        <f t="shared" si="39"/>
        <v>62.379843534705273</v>
      </c>
      <c r="BQ40" s="11"/>
      <c r="BR40" s="11"/>
      <c r="BS40" s="2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">
        <f t="shared" si="7"/>
        <v>-358800000</v>
      </c>
      <c r="CW40" s="11"/>
      <c r="CX40" s="11"/>
      <c r="CY40" s="2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">
        <f t="shared" si="71"/>
        <v>100</v>
      </c>
    </row>
    <row r="41" spans="4:132" x14ac:dyDescent="0.3">
      <c r="D41" s="12"/>
      <c r="E41" s="12"/>
      <c r="F41" s="7">
        <v>24</v>
      </c>
      <c r="G41" s="2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">
        <f t="shared" si="76"/>
        <v>0.39484815638014015</v>
      </c>
      <c r="AK41" s="11"/>
      <c r="AL41" s="11"/>
      <c r="AM41" s="2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">
        <f t="shared" si="39"/>
        <v>62.379843534705273</v>
      </c>
      <c r="BQ41" s="11"/>
      <c r="BR41" s="11"/>
      <c r="BS41" s="2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">
        <f t="shared" si="7"/>
        <v>-358800000</v>
      </c>
      <c r="CW41" s="11"/>
      <c r="CX41" s="11"/>
      <c r="CY41" s="2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">
        <f t="shared" si="71"/>
        <v>100</v>
      </c>
    </row>
    <row r="42" spans="4:132" x14ac:dyDescent="0.3">
      <c r="D42" s="12"/>
      <c r="E42" s="12"/>
      <c r="F42" s="7">
        <v>23</v>
      </c>
      <c r="G42" s="2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">
        <f t="shared" si="77"/>
        <v>0.39484815638014015</v>
      </c>
      <c r="AK42" s="11"/>
      <c r="AL42" s="11"/>
      <c r="AM42" s="2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">
        <f t="shared" si="39"/>
        <v>62.379843534705273</v>
      </c>
      <c r="BQ42" s="11"/>
      <c r="BR42" s="11"/>
      <c r="BS42" s="2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">
        <f t="shared" si="7"/>
        <v>-358800000</v>
      </c>
      <c r="CW42" s="11"/>
      <c r="CX42" s="11"/>
      <c r="CY42" s="2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">
        <f t="shared" si="71"/>
        <v>100</v>
      </c>
    </row>
    <row r="43" spans="4:132" x14ac:dyDescent="0.3">
      <c r="D43" s="12"/>
      <c r="E43" s="12"/>
      <c r="F43" s="7">
        <v>22</v>
      </c>
      <c r="G43" s="2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">
        <f t="shared" si="78"/>
        <v>0.39484815638014015</v>
      </c>
      <c r="AK43" s="11"/>
      <c r="AL43" s="11"/>
      <c r="AM43" s="2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">
        <f t="shared" si="39"/>
        <v>62.379843534705287</v>
      </c>
      <c r="BQ43" s="11"/>
      <c r="BR43" s="11"/>
      <c r="BS43" s="2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">
        <f t="shared" si="7"/>
        <v>-358800000</v>
      </c>
      <c r="CW43" s="11"/>
      <c r="CX43" s="11"/>
      <c r="CY43" s="2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">
        <f t="shared" si="71"/>
        <v>100</v>
      </c>
    </row>
    <row r="44" spans="4:132" x14ac:dyDescent="0.3">
      <c r="D44" s="12"/>
      <c r="E44" s="12"/>
      <c r="F44" s="7">
        <v>21</v>
      </c>
      <c r="G44" s="2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">
        <f t="shared" si="79"/>
        <v>0.39484815638014015</v>
      </c>
      <c r="AK44" s="11"/>
      <c r="AL44" s="11"/>
      <c r="AM44" s="2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">
        <f t="shared" si="39"/>
        <v>62.379843534705287</v>
      </c>
      <c r="BQ44" s="11"/>
      <c r="BR44" s="11"/>
      <c r="BS44" s="2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">
        <f t="shared" si="7"/>
        <v>-358800000</v>
      </c>
      <c r="CW44" s="11"/>
      <c r="CX44" s="11"/>
      <c r="CY44" s="2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">
        <f t="shared" si="71"/>
        <v>100</v>
      </c>
    </row>
    <row r="45" spans="4:132" x14ac:dyDescent="0.3">
      <c r="D45" s="12"/>
      <c r="E45" s="12"/>
      <c r="F45" s="7">
        <v>20</v>
      </c>
      <c r="G45" s="2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">
        <f t="shared" si="85"/>
        <v>0.39484815638014015</v>
      </c>
      <c r="AK45" s="11"/>
      <c r="AL45" s="11"/>
      <c r="AM45" s="2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">
        <f t="shared" si="39"/>
        <v>62.379843534705309</v>
      </c>
      <c r="BQ45" s="11"/>
      <c r="BR45" s="11"/>
      <c r="BS45" s="2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">
        <f t="shared" si="7"/>
        <v>-358800000</v>
      </c>
      <c r="CW45" s="11"/>
      <c r="CX45" s="11"/>
      <c r="CY45" s="2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">
        <f t="shared" si="71"/>
        <v>100</v>
      </c>
    </row>
    <row r="46" spans="4:132" x14ac:dyDescent="0.3">
      <c r="D46" s="12"/>
      <c r="E46" s="12"/>
      <c r="F46" s="7">
        <v>19</v>
      </c>
      <c r="G46" s="2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">
        <f t="shared" si="107"/>
        <v>0.39484815638014015</v>
      </c>
      <c r="AK46" s="11"/>
      <c r="AL46" s="11"/>
      <c r="AM46" s="2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">
        <f t="shared" si="39"/>
        <v>62.379843534705309</v>
      </c>
      <c r="BQ46" s="11"/>
      <c r="BR46" s="11"/>
      <c r="BS46" s="2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">
        <f t="shared" si="7"/>
        <v>-358800000</v>
      </c>
      <c r="CW46" s="11"/>
      <c r="CX46" s="11"/>
      <c r="CY46" s="2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">
        <f t="shared" si="71"/>
        <v>100</v>
      </c>
    </row>
    <row r="47" spans="4:132" x14ac:dyDescent="0.3">
      <c r="D47" s="12"/>
      <c r="E47" s="12"/>
      <c r="F47" s="7">
        <v>18</v>
      </c>
      <c r="G47" s="2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">
        <f t="shared" si="108"/>
        <v>0.39484815638014015</v>
      </c>
      <c r="AK47" s="11"/>
      <c r="AL47" s="11"/>
      <c r="AM47" s="2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">
        <f t="shared" si="39"/>
        <v>62.379843534705309</v>
      </c>
      <c r="BQ47" s="11"/>
      <c r="BR47" s="11"/>
      <c r="BS47" s="2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">
        <f t="shared" si="7"/>
        <v>-358800000</v>
      </c>
      <c r="CW47" s="11"/>
      <c r="CX47" s="11"/>
      <c r="CY47" s="2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">
        <f t="shared" si="71"/>
        <v>100</v>
      </c>
    </row>
    <row r="48" spans="4:132" x14ac:dyDescent="0.3">
      <c r="D48" s="12"/>
      <c r="E48" s="12"/>
      <c r="F48" s="7">
        <v>17</v>
      </c>
      <c r="G48" s="2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">
        <f t="shared" si="109"/>
        <v>0.39484815638014015</v>
      </c>
      <c r="AK48" s="11"/>
      <c r="AL48" s="11"/>
      <c r="AM48" s="2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">
        <f t="shared" si="39"/>
        <v>62.379843534705309</v>
      </c>
      <c r="BQ48" s="11"/>
      <c r="BR48" s="11"/>
      <c r="BS48" s="2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">
        <f t="shared" si="7"/>
        <v>-358800000</v>
      </c>
      <c r="CW48" s="11"/>
      <c r="CX48" s="11"/>
      <c r="CY48" s="2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">
        <f t="shared" si="71"/>
        <v>100</v>
      </c>
    </row>
    <row r="49" spans="4:132" x14ac:dyDescent="0.3">
      <c r="D49" s="12"/>
      <c r="E49" s="12"/>
      <c r="F49" s="7">
        <v>16</v>
      </c>
      <c r="G49" s="2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">
        <f t="shared" si="110"/>
        <v>0.39484815638014015</v>
      </c>
      <c r="AK49" s="11"/>
      <c r="AL49" s="11"/>
      <c r="AM49" s="2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">
        <f t="shared" si="39"/>
        <v>62.379843534705309</v>
      </c>
      <c r="BQ49" s="11"/>
      <c r="BR49" s="11"/>
      <c r="BS49" s="2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">
        <f t="shared" si="7"/>
        <v>-358800000</v>
      </c>
      <c r="CW49" s="11"/>
      <c r="CX49" s="11"/>
      <c r="CY49" s="2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">
        <f t="shared" si="71"/>
        <v>100</v>
      </c>
    </row>
    <row r="50" spans="4:132" x14ac:dyDescent="0.3">
      <c r="D50" s="12"/>
      <c r="E50" s="12"/>
      <c r="F50" s="7">
        <v>15</v>
      </c>
      <c r="G50" s="2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">
        <f t="shared" si="111"/>
        <v>0.39484815638014015</v>
      </c>
      <c r="AK50" s="11"/>
      <c r="AL50" s="11"/>
      <c r="AM50" s="2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">
        <f t="shared" si="39"/>
        <v>62.379843534705309</v>
      </c>
      <c r="BQ50" s="11"/>
      <c r="BR50" s="11"/>
      <c r="BS50" s="2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">
        <f t="shared" si="7"/>
        <v>-358800000</v>
      </c>
      <c r="CW50" s="11"/>
      <c r="CX50" s="11"/>
      <c r="CY50" s="2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">
        <f t="shared" si="71"/>
        <v>100</v>
      </c>
    </row>
    <row r="51" spans="4:132" x14ac:dyDescent="0.3">
      <c r="D51" s="12"/>
      <c r="E51" s="12"/>
      <c r="F51" s="7">
        <v>14</v>
      </c>
      <c r="G51" s="2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">
        <f t="shared" si="112"/>
        <v>0.39484815638014015</v>
      </c>
      <c r="AK51" s="11"/>
      <c r="AL51" s="11"/>
      <c r="AM51" s="2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">
        <f t="shared" si="39"/>
        <v>62.379843534705309</v>
      </c>
      <c r="BQ51" s="11"/>
      <c r="BR51" s="11"/>
      <c r="BS51" s="2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">
        <f t="shared" ref="CV51:CV64" si="114">-$C$10*$C$9*AJ19/$C$7</f>
        <v>-358800000</v>
      </c>
      <c r="CW51" s="11"/>
      <c r="CX51" s="11"/>
      <c r="CY51" s="2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">
        <f t="shared" si="71"/>
        <v>100</v>
      </c>
    </row>
    <row r="52" spans="4:132" x14ac:dyDescent="0.3">
      <c r="D52" s="12"/>
      <c r="E52" s="12"/>
      <c r="F52" s="7">
        <v>13</v>
      </c>
      <c r="G52" s="2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">
        <f t="shared" si="115"/>
        <v>0.39484815638014015</v>
      </c>
      <c r="AK52" s="11"/>
      <c r="AL52" s="11"/>
      <c r="AM52" s="2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">
        <f t="shared" si="39"/>
        <v>62.379843534705309</v>
      </c>
      <c r="BQ52" s="11"/>
      <c r="BR52" s="11"/>
      <c r="BS52" s="2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">
        <f t="shared" si="114"/>
        <v>-358800000</v>
      </c>
      <c r="CW52" s="11"/>
      <c r="CX52" s="11"/>
      <c r="CY52" s="2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">
        <f t="shared" si="71"/>
        <v>100</v>
      </c>
    </row>
    <row r="53" spans="4:132" x14ac:dyDescent="0.3">
      <c r="D53" s="12"/>
      <c r="E53" s="12"/>
      <c r="F53" s="7">
        <v>12</v>
      </c>
      <c r="G53" s="2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">
        <f t="shared" si="116"/>
        <v>0.39484815638014015</v>
      </c>
      <c r="AK53" s="11"/>
      <c r="AL53" s="11"/>
      <c r="AM53" s="2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">
        <f t="shared" si="39"/>
        <v>62.379843534705309</v>
      </c>
      <c r="BQ53" s="11"/>
      <c r="BR53" s="11"/>
      <c r="BS53" s="2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">
        <f t="shared" si="114"/>
        <v>-358800000</v>
      </c>
      <c r="CW53" s="11"/>
      <c r="CX53" s="11"/>
      <c r="CY53" s="2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">
        <f t="shared" si="71"/>
        <v>100</v>
      </c>
    </row>
    <row r="54" spans="4:132" x14ac:dyDescent="0.3">
      <c r="D54" s="12"/>
      <c r="E54" s="12"/>
      <c r="F54" s="7">
        <v>11</v>
      </c>
      <c r="G54" s="2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">
        <f t="shared" si="117"/>
        <v>0.39484815638014015</v>
      </c>
      <c r="AK54" s="11"/>
      <c r="AL54" s="11"/>
      <c r="AM54" s="2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">
        <f t="shared" si="39"/>
        <v>62.379843534705309</v>
      </c>
      <c r="BQ54" s="11"/>
      <c r="BR54" s="11"/>
      <c r="BS54" s="2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">
        <f t="shared" si="114"/>
        <v>-358800000</v>
      </c>
      <c r="CW54" s="11"/>
      <c r="CX54" s="11"/>
      <c r="CY54" s="2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">
        <f t="shared" si="71"/>
        <v>100</v>
      </c>
    </row>
    <row r="55" spans="4:132" x14ac:dyDescent="0.3">
      <c r="D55" s="12"/>
      <c r="E55" s="12"/>
      <c r="F55" s="7">
        <v>10</v>
      </c>
      <c r="G55" s="2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">
        <f t="shared" si="118"/>
        <v>0.39484815638014015</v>
      </c>
      <c r="AK55" s="11"/>
      <c r="AL55" s="11"/>
      <c r="AM55" s="2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">
        <f t="shared" si="39"/>
        <v>62.379843534705309</v>
      </c>
      <c r="BQ55" s="11"/>
      <c r="BR55" s="11"/>
      <c r="BS55" s="2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">
        <f t="shared" si="114"/>
        <v>-358800000</v>
      </c>
      <c r="CW55" s="11"/>
      <c r="CX55" s="11"/>
      <c r="CY55" s="2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">
        <f t="shared" si="71"/>
        <v>100</v>
      </c>
    </row>
    <row r="56" spans="4:132" x14ac:dyDescent="0.3">
      <c r="D56" s="12"/>
      <c r="E56" s="12"/>
      <c r="F56" s="7">
        <v>9</v>
      </c>
      <c r="G56" s="2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">
        <f t="shared" si="119"/>
        <v>0.39484815638014015</v>
      </c>
      <c r="AK56" s="11"/>
      <c r="AL56" s="11"/>
      <c r="AM56" s="2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">
        <f t="shared" si="39"/>
        <v>62.379843534705309</v>
      </c>
      <c r="BQ56" s="11"/>
      <c r="BR56" s="11"/>
      <c r="BS56" s="2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">
        <f t="shared" si="114"/>
        <v>-358800000</v>
      </c>
      <c r="CW56" s="11"/>
      <c r="CX56" s="11"/>
      <c r="CY56" s="2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">
        <f t="shared" si="71"/>
        <v>100</v>
      </c>
    </row>
    <row r="57" spans="4:132" x14ac:dyDescent="0.3">
      <c r="D57" s="12"/>
      <c r="E57" s="12"/>
      <c r="F57" s="7">
        <v>8</v>
      </c>
      <c r="G57" s="2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">
        <f t="shared" si="120"/>
        <v>0.39484815638014015</v>
      </c>
      <c r="AK57" s="11"/>
      <c r="AL57" s="11"/>
      <c r="AM57" s="2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">
        <f t="shared" si="39"/>
        <v>62.379843534705302</v>
      </c>
      <c r="BQ57" s="11"/>
      <c r="BR57" s="11"/>
      <c r="BS57" s="2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">
        <f t="shared" si="114"/>
        <v>-358800000</v>
      </c>
      <c r="CW57" s="11"/>
      <c r="CX57" s="11"/>
      <c r="CY57" s="2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">
        <f t="shared" si="71"/>
        <v>100</v>
      </c>
    </row>
    <row r="58" spans="4:132" x14ac:dyDescent="0.3">
      <c r="D58" s="12"/>
      <c r="E58" s="12"/>
      <c r="F58" s="7">
        <v>7</v>
      </c>
      <c r="G58" s="2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">
        <f t="shared" si="121"/>
        <v>0.39484815638014015</v>
      </c>
      <c r="AK58" s="11"/>
      <c r="AL58" s="11"/>
      <c r="AM58" s="2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">
        <f t="shared" si="39"/>
        <v>62.379843534705302</v>
      </c>
      <c r="BQ58" s="11"/>
      <c r="BR58" s="11"/>
      <c r="BS58" s="2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">
        <f t="shared" si="114"/>
        <v>-358800000</v>
      </c>
      <c r="CW58" s="11"/>
      <c r="CX58" s="11"/>
      <c r="CY58" s="2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">
        <f t="shared" si="71"/>
        <v>100</v>
      </c>
    </row>
    <row r="59" spans="4:132" x14ac:dyDescent="0.3">
      <c r="D59" s="12"/>
      <c r="E59" s="12"/>
      <c r="F59" s="7">
        <v>6</v>
      </c>
      <c r="G59" s="2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">
        <f t="shared" si="122"/>
        <v>0.39484815638014015</v>
      </c>
      <c r="AK59" s="11"/>
      <c r="AL59" s="11"/>
      <c r="AM59" s="2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">
        <f t="shared" si="39"/>
        <v>62.379843534705302</v>
      </c>
      <c r="BQ59" s="11"/>
      <c r="BR59" s="11"/>
      <c r="BS59" s="2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">
        <f t="shared" si="114"/>
        <v>-358800000</v>
      </c>
      <c r="CW59" s="11"/>
      <c r="CX59" s="11"/>
      <c r="CY59" s="2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">
        <f t="shared" si="71"/>
        <v>100</v>
      </c>
    </row>
    <row r="60" spans="4:132" x14ac:dyDescent="0.3">
      <c r="D60" s="12"/>
      <c r="E60" s="12"/>
      <c r="F60" s="7">
        <v>5</v>
      </c>
      <c r="G60" s="2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">
        <f t="shared" si="123"/>
        <v>0.39484815638014015</v>
      </c>
      <c r="AK60" s="11"/>
      <c r="AL60" s="11"/>
      <c r="AM60" s="2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">
        <f t="shared" si="39"/>
        <v>62.379843534705302</v>
      </c>
      <c r="BQ60" s="11"/>
      <c r="BR60" s="11"/>
      <c r="BS60" s="2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">
        <f t="shared" si="114"/>
        <v>-358800000</v>
      </c>
      <c r="CW60" s="11"/>
      <c r="CX60" s="11"/>
      <c r="CY60" s="2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">
        <f t="shared" si="71"/>
        <v>100</v>
      </c>
    </row>
    <row r="61" spans="4:132" x14ac:dyDescent="0.3">
      <c r="D61" s="12"/>
      <c r="E61" s="12"/>
      <c r="F61" s="7">
        <v>4</v>
      </c>
      <c r="G61" s="2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">
        <f t="shared" si="124"/>
        <v>0.39484815638014015</v>
      </c>
      <c r="AK61" s="11"/>
      <c r="AL61" s="11"/>
      <c r="AM61" s="2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">
        <f t="shared" si="39"/>
        <v>62.379843534705302</v>
      </c>
      <c r="BQ61" s="11"/>
      <c r="BR61" s="11"/>
      <c r="BS61" s="2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">
        <f t="shared" si="114"/>
        <v>-358800000</v>
      </c>
      <c r="CW61" s="11"/>
      <c r="CX61" s="11"/>
      <c r="CY61" s="2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">
        <f t="shared" si="71"/>
        <v>100</v>
      </c>
    </row>
    <row r="62" spans="4:132" x14ac:dyDescent="0.3">
      <c r="D62" s="12"/>
      <c r="E62" s="12"/>
      <c r="F62" s="7">
        <v>3</v>
      </c>
      <c r="G62" s="2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">
        <f t="shared" si="125"/>
        <v>0.39484815638014015</v>
      </c>
      <c r="AK62" s="11"/>
      <c r="AL62" s="11"/>
      <c r="AM62" s="2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">
        <f t="shared" si="39"/>
        <v>62.379843534705302</v>
      </c>
      <c r="BQ62" s="11"/>
      <c r="BR62" s="11"/>
      <c r="BS62" s="2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">
        <f t="shared" si="114"/>
        <v>-358800000</v>
      </c>
      <c r="CW62" s="11"/>
      <c r="CX62" s="11"/>
      <c r="CY62" s="2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">
        <f t="shared" si="71"/>
        <v>100</v>
      </c>
    </row>
    <row r="63" spans="4:132" x14ac:dyDescent="0.3">
      <c r="D63" s="12"/>
      <c r="E63" s="12"/>
      <c r="F63" s="7">
        <v>2</v>
      </c>
      <c r="G63" s="2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">
        <f t="shared" si="126"/>
        <v>0.39484815638014015</v>
      </c>
      <c r="AK63" s="11"/>
      <c r="AL63" s="11"/>
      <c r="AM63" s="2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">
        <f t="shared" si="39"/>
        <v>62.379843534705302</v>
      </c>
      <c r="BQ63" s="11"/>
      <c r="BR63" s="11"/>
      <c r="BS63" s="2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">
        <f t="shared" si="114"/>
        <v>-358800000</v>
      </c>
      <c r="CW63" s="11"/>
      <c r="CX63" s="11"/>
      <c r="CY63" s="2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">
        <f t="shared" si="71"/>
        <v>100</v>
      </c>
    </row>
    <row r="64" spans="4:132" x14ac:dyDescent="0.3">
      <c r="D64" s="12"/>
      <c r="E64" s="12"/>
      <c r="F64" s="7">
        <v>1</v>
      </c>
      <c r="G64" s="2">
        <f>0</f>
        <v>0</v>
      </c>
      <c r="H64" s="2">
        <f>$D$16/($D$17-$D$18*G64)</f>
        <v>0.3415922014622258</v>
      </c>
      <c r="I64" s="2">
        <f t="shared" si="126"/>
        <v>0.3867162803971414</v>
      </c>
      <c r="J64" s="2">
        <f t="shared" si="126"/>
        <v>0.39358441341045353</v>
      </c>
      <c r="K64" s="2">
        <f t="shared" si="126"/>
        <v>0.39465123071155611</v>
      </c>
      <c r="L64" s="2">
        <f t="shared" si="126"/>
        <v>0.39481745705771337</v>
      </c>
      <c r="M64" s="2">
        <f t="shared" si="126"/>
        <v>0.39484337025824801</v>
      </c>
      <c r="N64" s="2">
        <f t="shared" si="126"/>
        <v>0.39484741020089792</v>
      </c>
      <c r="O64" s="2">
        <f t="shared" si="126"/>
        <v>0.39484804004704999</v>
      </c>
      <c r="P64" s="2">
        <f t="shared" si="126"/>
        <v>0.39484813824322279</v>
      </c>
      <c r="Q64" s="2">
        <f t="shared" si="126"/>
        <v>0.39484815355250286</v>
      </c>
      <c r="R64" s="2">
        <f t="shared" si="126"/>
        <v>0.39484815593929717</v>
      </c>
      <c r="S64" s="2">
        <f t="shared" si="126"/>
        <v>0.39484815631141046</v>
      </c>
      <c r="T64" s="2">
        <f t="shared" si="126"/>
        <v>0.39484815636942483</v>
      </c>
      <c r="U64" s="2">
        <f t="shared" si="126"/>
        <v>0.39484815637846954</v>
      </c>
      <c r="V64" s="2">
        <f t="shared" si="126"/>
        <v>0.39484815637987963</v>
      </c>
      <c r="W64" s="2">
        <f t="shared" si="126"/>
        <v>0.39484815638009951</v>
      </c>
      <c r="X64" s="2">
        <f t="shared" si="126"/>
        <v>0.39484815638013382</v>
      </c>
      <c r="Y64" s="2">
        <f t="shared" si="126"/>
        <v>0.39484815638013915</v>
      </c>
      <c r="Z64" s="2">
        <f t="shared" si="126"/>
        <v>0.39484815638013998</v>
      </c>
      <c r="AA64" s="2">
        <f t="shared" si="126"/>
        <v>0.39484815638014015</v>
      </c>
      <c r="AB64" s="2">
        <f t="shared" si="126"/>
        <v>0.39484815638014015</v>
      </c>
      <c r="AC64" s="2">
        <f t="shared" si="126"/>
        <v>0.39484815638014015</v>
      </c>
      <c r="AD64" s="2">
        <f t="shared" si="126"/>
        <v>0.39484815638014015</v>
      </c>
      <c r="AE64" s="2">
        <f t="shared" si="126"/>
        <v>0.39484815638014015</v>
      </c>
      <c r="AF64" s="2">
        <f t="shared" si="126"/>
        <v>0.39484815638014015</v>
      </c>
      <c r="AG64" s="2">
        <f t="shared" si="126"/>
        <v>0.39484815638014015</v>
      </c>
      <c r="AH64" s="2">
        <f t="shared" si="126"/>
        <v>0.39484815638014015</v>
      </c>
      <c r="AI64" s="2">
        <f t="shared" si="126"/>
        <v>0.39484815638014015</v>
      </c>
      <c r="AJ64" s="2">
        <f t="shared" si="126"/>
        <v>0.39484815638014015</v>
      </c>
      <c r="AK64" s="11"/>
      <c r="AL64" s="11"/>
      <c r="AM64" s="2">
        <f t="shared" si="10"/>
        <v>300</v>
      </c>
      <c r="AN64" s="2">
        <f t="shared" si="11"/>
        <v>194.63948358007133</v>
      </c>
      <c r="AO64" s="2">
        <f t="shared" si="12"/>
        <v>176.3521823573108</v>
      </c>
      <c r="AP64" s="2">
        <f t="shared" si="13"/>
        <v>168.99318078738472</v>
      </c>
      <c r="AQ64" s="2">
        <f t="shared" si="14"/>
        <v>163.27257344001407</v>
      </c>
      <c r="AR64" s="2">
        <f t="shared" si="15"/>
        <v>157.84370074676156</v>
      </c>
      <c r="AS64" s="2">
        <f t="shared" si="16"/>
        <v>152.51638077303002</v>
      </c>
      <c r="AT64" s="2">
        <f t="shared" si="17"/>
        <v>147.27328137194473</v>
      </c>
      <c r="AU64" s="2">
        <f t="shared" si="18"/>
        <v>142.12229799922753</v>
      </c>
      <c r="AV64" s="2">
        <f t="shared" si="19"/>
        <v>137.07419251222811</v>
      </c>
      <c r="AW64" s="2">
        <f t="shared" si="20"/>
        <v>132.13911209997104</v>
      </c>
      <c r="AX64" s="2">
        <f t="shared" si="21"/>
        <v>127.32596527065644</v>
      </c>
      <c r="AY64" s="2">
        <f t="shared" si="22"/>
        <v>122.64224162833776</v>
      </c>
      <c r="AZ64" s="2">
        <f t="shared" si="23"/>
        <v>118.09391299532597</v>
      </c>
      <c r="BA64" s="2">
        <f t="shared" si="24"/>
        <v>113.68536215599867</v>
      </c>
      <c r="BB64" s="2">
        <f t="shared" si="25"/>
        <v>109.41933178229949</v>
      </c>
      <c r="BC64" s="2">
        <f t="shared" si="26"/>
        <v>105.29689287247935</v>
      </c>
      <c r="BD64" s="2">
        <f t="shared" si="27"/>
        <v>101.31743285708225</v>
      </c>
      <c r="BE64" s="2">
        <f t="shared" si="28"/>
        <v>97.478663452371407</v>
      </c>
      <c r="BF64" s="2">
        <f t="shared" si="29"/>
        <v>93.776648133472307</v>
      </c>
      <c r="BG64" s="2">
        <f t="shared" si="30"/>
        <v>90.205848874335288</v>
      </c>
      <c r="BH64" s="2">
        <f t="shared" si="31"/>
        <v>86.759191578956504</v>
      </c>
      <c r="BI64" s="2">
        <f t="shared" si="32"/>
        <v>83.428149413208857</v>
      </c>
      <c r="BJ64" s="2">
        <f t="shared" si="33"/>
        <v>80.202843041847373</v>
      </c>
      <c r="BK64" s="2">
        <f t="shared" si="34"/>
        <v>77.072156582990132</v>
      </c>
      <c r="BL64" s="2">
        <f t="shared" si="35"/>
        <v>74.023867914617995</v>
      </c>
      <c r="BM64" s="2">
        <f t="shared" si="36"/>
        <v>71.044791806168377</v>
      </c>
      <c r="BN64" s="2">
        <f t="shared" si="37"/>
        <v>68.120934204695189</v>
      </c>
      <c r="BO64" s="2">
        <f t="shared" si="38"/>
        <v>65.237655880693339</v>
      </c>
      <c r="BP64" s="2">
        <f t="shared" si="39"/>
        <v>62.379843534705302</v>
      </c>
      <c r="BQ64" s="11"/>
      <c r="BR64" s="11"/>
      <c r="BS64" s="2">
        <f t="shared" si="40"/>
        <v>-1076400000</v>
      </c>
      <c r="BT64" s="2">
        <f t="shared" si="86"/>
        <v>-1043751079.4410235</v>
      </c>
      <c r="BU64" s="2">
        <f t="shared" si="87"/>
        <v>-1011194914.3075644</v>
      </c>
      <c r="BV64" s="2">
        <f t="shared" si="88"/>
        <v>-978823168.4767369</v>
      </c>
      <c r="BW64" s="2">
        <f t="shared" si="89"/>
        <v>-946725335.71686137</v>
      </c>
      <c r="BX64" s="2">
        <f t="shared" si="90"/>
        <v>-914987686.94191611</v>
      </c>
      <c r="BY64" s="2">
        <f t="shared" si="91"/>
        <v>-883692255.78758538</v>
      </c>
      <c r="BZ64" s="2">
        <f t="shared" si="92"/>
        <v>-852915874.54128301</v>
      </c>
      <c r="CA64" s="2">
        <f t="shared" si="93"/>
        <v>-822729271.83656406</v>
      </c>
      <c r="CB64" s="2">
        <f t="shared" si="94"/>
        <v>-793196242.76157236</v>
      </c>
      <c r="CC64" s="2">
        <f t="shared" si="95"/>
        <v>-764372901.14223671</v>
      </c>
      <c r="CD64" s="2">
        <f t="shared" si="96"/>
        <v>-736307022.75608897</v>
      </c>
      <c r="CE64" s="2">
        <f t="shared" si="97"/>
        <v>-709037487.12560928</v>
      </c>
      <c r="CF64" s="2">
        <f t="shared" si="98"/>
        <v>-682593824.34571934</v>
      </c>
      <c r="CG64" s="2">
        <f t="shared" si="99"/>
        <v>-656995872.13432038</v>
      </c>
      <c r="CH64" s="2">
        <f t="shared" si="100"/>
        <v>-632253546.9740113</v>
      </c>
      <c r="CI64" s="2">
        <f t="shared" si="101"/>
        <v>-608366731.85413873</v>
      </c>
      <c r="CJ64" s="2">
        <f t="shared" si="102"/>
        <v>-585325281.74208415</v>
      </c>
      <c r="CK64" s="2">
        <f t="shared" si="103"/>
        <v>-563109146.52795935</v>
      </c>
      <c r="CL64" s="2">
        <f t="shared" si="104"/>
        <v>-541688609.81410336</v>
      </c>
      <c r="CM64" s="2">
        <f t="shared" si="105"/>
        <v>-521024640.57585138</v>
      </c>
      <c r="CN64" s="2">
        <f t="shared" si="106"/>
        <v>-501069353.41811466</v>
      </c>
      <c r="CO64" s="2">
        <f t="shared" si="80"/>
        <v>-481766571.90763414</v>
      </c>
      <c r="CP64" s="2">
        <f t="shared" si="81"/>
        <v>-463052488.28660685</v>
      </c>
      <c r="CQ64" s="2">
        <f t="shared" si="82"/>
        <v>-444856411.78191227</v>
      </c>
      <c r="CR64" s="2">
        <f t="shared" si="83"/>
        <v>-427101596.72635204</v>
      </c>
      <c r="CS64" s="2">
        <f t="shared" si="84"/>
        <v>-409706140.813972</v>
      </c>
      <c r="CT64" s="2">
        <f t="shared" si="41"/>
        <v>-392583943.02920842</v>
      </c>
      <c r="CU64" s="2">
        <f t="shared" si="113"/>
        <v>-375645710.12657768</v>
      </c>
      <c r="CV64" s="2">
        <f t="shared" si="114"/>
        <v>-358800000</v>
      </c>
      <c r="CW64" s="11"/>
      <c r="CX64" s="11"/>
      <c r="CY64" s="2">
        <f t="shared" si="42"/>
        <v>300</v>
      </c>
      <c r="CZ64" s="2">
        <f t="shared" si="43"/>
        <v>290.92804791748347</v>
      </c>
      <c r="DA64" s="2">
        <f t="shared" si="44"/>
        <v>281.88162354186534</v>
      </c>
      <c r="DB64" s="2">
        <f t="shared" si="45"/>
        <v>272.88595420958291</v>
      </c>
      <c r="DC64" s="2">
        <f t="shared" si="46"/>
        <v>263.96567008829322</v>
      </c>
      <c r="DD64" s="2">
        <f t="shared" si="47"/>
        <v>255.1445144785929</v>
      </c>
      <c r="DE64" s="2">
        <f t="shared" si="48"/>
        <v>246.44506465581173</v>
      </c>
      <c r="DF64" s="2">
        <f t="shared" si="49"/>
        <v>237.88846656168369</v>
      </c>
      <c r="DG64" s="2">
        <f t="shared" si="50"/>
        <v>229.49418648493617</v>
      </c>
      <c r="DH64" s="2">
        <f t="shared" si="51"/>
        <v>221.27978266093817</v>
      </c>
      <c r="DI64" s="2">
        <f t="shared" si="52"/>
        <v>213.26069947641543</v>
      </c>
      <c r="DJ64" s="2">
        <f t="shared" si="53"/>
        <v>205.45008668923072</v>
      </c>
      <c r="DK64" s="2">
        <f t="shared" si="54"/>
        <v>197.85864576909628</v>
      </c>
      <c r="DL64" s="2">
        <f t="shared" si="55"/>
        <v>190.4945051368976</v>
      </c>
      <c r="DM64" s="2">
        <f t="shared" si="56"/>
        <v>183.36312573239604</v>
      </c>
      <c r="DN64" s="2">
        <f t="shared" si="57"/>
        <v>176.46723797694494</v>
      </c>
      <c r="DO64" s="2">
        <f t="shared" si="58"/>
        <v>169.80681082410655</v>
      </c>
      <c r="DP64" s="2">
        <f t="shared" si="59"/>
        <v>163.37905321134869</v>
      </c>
      <c r="DQ64" s="2">
        <f t="shared" si="60"/>
        <v>157.17844784494216</v>
      </c>
      <c r="DR64" s="2">
        <f t="shared" si="61"/>
        <v>151.19681687229385</v>
      </c>
      <c r="DS64" s="2">
        <f t="shared" si="62"/>
        <v>145.42341862561537</v>
      </c>
      <c r="DT64" s="2">
        <f t="shared" si="63"/>
        <v>139.84507426221677</v>
      </c>
      <c r="DU64" s="2">
        <f t="shared" si="64"/>
        <v>134.44632278376864</v>
      </c>
      <c r="DV64" s="2">
        <f t="shared" si="65"/>
        <v>129.20960259326125</v>
      </c>
      <c r="DW64" s="2">
        <f t="shared" si="66"/>
        <v>124.11545744747662</v>
      </c>
      <c r="DX64" s="2">
        <f t="shared" si="67"/>
        <v>119.1427643876233</v>
      </c>
      <c r="DY64" s="2">
        <f t="shared" si="68"/>
        <v>114.26898098409021</v>
      </c>
      <c r="DZ64" s="2">
        <f t="shared" si="69"/>
        <v>109.47040901542852</v>
      </c>
      <c r="EA64" s="2">
        <f t="shared" si="70"/>
        <v>104.72247151870735</v>
      </c>
      <c r="EB64" s="2">
        <f>AJ32</f>
        <v>100</v>
      </c>
    </row>
    <row r="66" spans="4:132" x14ac:dyDescent="0.3">
      <c r="D66" s="11" t="s">
        <v>18</v>
      </c>
      <c r="E66" s="11"/>
      <c r="F66" s="7"/>
      <c r="G66" s="7">
        <v>30</v>
      </c>
      <c r="H66" s="7">
        <v>29</v>
      </c>
      <c r="I66" s="7">
        <v>28</v>
      </c>
      <c r="J66" s="7">
        <v>27</v>
      </c>
      <c r="K66" s="7">
        <v>26</v>
      </c>
      <c r="L66" s="7">
        <v>25</v>
      </c>
      <c r="M66" s="7">
        <v>24</v>
      </c>
      <c r="N66" s="7">
        <v>23</v>
      </c>
      <c r="O66" s="7">
        <v>22</v>
      </c>
      <c r="P66" s="7">
        <v>21</v>
      </c>
      <c r="Q66" s="7">
        <v>20</v>
      </c>
      <c r="R66" s="7">
        <v>19</v>
      </c>
      <c r="S66" s="7">
        <v>18</v>
      </c>
      <c r="T66" s="7">
        <v>17</v>
      </c>
      <c r="U66" s="7">
        <v>16</v>
      </c>
      <c r="V66" s="7">
        <v>15</v>
      </c>
      <c r="W66" s="7">
        <v>14</v>
      </c>
      <c r="X66" s="7">
        <v>13</v>
      </c>
      <c r="Y66" s="7">
        <v>12</v>
      </c>
      <c r="Z66" s="7">
        <v>11</v>
      </c>
      <c r="AA66" s="7">
        <v>10</v>
      </c>
      <c r="AB66" s="7">
        <v>9</v>
      </c>
      <c r="AC66" s="7">
        <v>8</v>
      </c>
      <c r="AD66" s="7">
        <v>7</v>
      </c>
      <c r="AE66" s="7">
        <v>6</v>
      </c>
      <c r="AF66" s="7">
        <v>5</v>
      </c>
      <c r="AG66" s="7">
        <v>4</v>
      </c>
      <c r="AH66" s="7">
        <v>3</v>
      </c>
      <c r="AI66" s="7">
        <v>2</v>
      </c>
      <c r="AJ66" s="7">
        <v>1</v>
      </c>
      <c r="AK66" s="11" t="s">
        <v>20</v>
      </c>
      <c r="AL66" s="11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11" t="s">
        <v>22</v>
      </c>
      <c r="BR66" s="11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11" t="s">
        <v>24</v>
      </c>
      <c r="CX66" s="11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11"/>
      <c r="E67" s="11"/>
      <c r="F67" s="7">
        <v>30</v>
      </c>
      <c r="G67" s="2">
        <f>$D$20/($D$21-$D$22*G68)</f>
        <v>0.39484815638014015</v>
      </c>
      <c r="H67" s="2">
        <f t="shared" ref="H67" si="127">$D$20/($D$21-$D$22*H68)</f>
        <v>0.39484815638014015</v>
      </c>
      <c r="I67" s="2">
        <f t="shared" ref="I67" si="128">$D$20/($D$21-$D$22*I68)</f>
        <v>0.39484815638014015</v>
      </c>
      <c r="J67" s="2">
        <f t="shared" ref="J67" si="129">$D$20/($D$21-$D$22*J68)</f>
        <v>0.39484815638014015</v>
      </c>
      <c r="K67" s="2">
        <f t="shared" ref="K67" si="130">$D$20/($D$21-$D$22*K68)</f>
        <v>0.39484815638014015</v>
      </c>
      <c r="L67" s="2">
        <f t="shared" ref="L67" si="131">$D$20/($D$21-$D$22*L68)</f>
        <v>0.39484815638014015</v>
      </c>
      <c r="M67" s="2">
        <f t="shared" ref="M67" si="132">$D$20/($D$21-$D$22*M68)</f>
        <v>0.39484815638014015</v>
      </c>
      <c r="N67" s="2">
        <f t="shared" ref="N67" si="133">$D$20/($D$21-$D$22*N68)</f>
        <v>0.39484815638014015</v>
      </c>
      <c r="O67" s="2">
        <f t="shared" ref="O67" si="134">$D$20/($D$21-$D$22*O68)</f>
        <v>0.39484815638014015</v>
      </c>
      <c r="P67" s="2">
        <f t="shared" ref="P67" si="135">$D$20/($D$21-$D$22*P68)</f>
        <v>0.39484815638014015</v>
      </c>
      <c r="Q67" s="2">
        <f t="shared" ref="Q67" si="136">$D$20/($D$21-$D$22*Q68)</f>
        <v>0.39484815638014015</v>
      </c>
      <c r="R67" s="2">
        <f t="shared" ref="R67" si="137">$D$20/($D$21-$D$22*R68)</f>
        <v>0.39484815638014015</v>
      </c>
      <c r="S67" s="2">
        <f t="shared" ref="S67" si="138">$D$20/($D$21-$D$22*S68)</f>
        <v>0.39484815638014015</v>
      </c>
      <c r="T67" s="2">
        <f t="shared" ref="T67" si="139">$D$20/($D$21-$D$22*T68)</f>
        <v>0.39484815638014015</v>
      </c>
      <c r="U67" s="2">
        <f t="shared" ref="U67" si="140">$D$20/($D$21-$D$22*U68)</f>
        <v>0.39484815638014015</v>
      </c>
      <c r="V67" s="2">
        <f t="shared" ref="V67" si="141">$D$20/($D$21-$D$22*V68)</f>
        <v>0.39484815638014015</v>
      </c>
      <c r="W67" s="2">
        <f t="shared" ref="W67" si="142">$D$20/($D$21-$D$22*W68)</f>
        <v>0.39484815638014015</v>
      </c>
      <c r="X67" s="2">
        <f t="shared" ref="X67" si="143">$D$20/($D$21-$D$22*X68)</f>
        <v>0.39484815638014015</v>
      </c>
      <c r="Y67" s="2">
        <f t="shared" ref="Y67" si="144">$D$20/($D$21-$D$22*Y68)</f>
        <v>0.39484815638014015</v>
      </c>
      <c r="Z67" s="2">
        <f t="shared" ref="Z67" si="145">$D$20/($D$21-$D$22*Z68)</f>
        <v>0.39484815638014015</v>
      </c>
      <c r="AA67" s="2">
        <f t="shared" ref="AA67" si="146">$D$20/($D$21-$D$22*AA68)</f>
        <v>0.39484815638014015</v>
      </c>
      <c r="AB67" s="2">
        <f t="shared" ref="AB67" si="147">$D$20/($D$21-$D$22*AB68)</f>
        <v>0.39484815638014015</v>
      </c>
      <c r="AC67" s="2">
        <f t="shared" ref="AC67" si="148">$D$20/($D$21-$D$22*AC68)</f>
        <v>0.39484815638014015</v>
      </c>
      <c r="AD67" s="2">
        <f t="shared" ref="AD67" si="149">$D$20/($D$21-$D$22*AD68)</f>
        <v>0.39484815638014015</v>
      </c>
      <c r="AE67" s="2">
        <f t="shared" ref="AE67" si="150">$D$20/($D$21-$D$22*AE68)</f>
        <v>0.39484815638014015</v>
      </c>
      <c r="AF67" s="2">
        <f t="shared" ref="AF67" si="151">$D$20/($D$21-$D$22*AF68)</f>
        <v>0.39484815638014015</v>
      </c>
      <c r="AG67" s="2">
        <f t="shared" ref="AG67" si="152">$D$20/($D$21-$D$22*AG68)</f>
        <v>0.39484815638014015</v>
      </c>
      <c r="AH67" s="2">
        <f t="shared" ref="AH67" si="153">$D$20/($D$21-$D$22*AH68)</f>
        <v>0.39484815638014015</v>
      </c>
      <c r="AI67" s="2">
        <f t="shared" ref="AI67" si="154">$D$20/($D$21-$D$22*AI68)</f>
        <v>0.39484815638014015</v>
      </c>
      <c r="AJ67" s="2">
        <f t="shared" ref="AJ67" si="155">$D$20/($D$21-$D$22*AJ68)</f>
        <v>0.39484815638014015</v>
      </c>
      <c r="AK67" s="11"/>
      <c r="AL67" s="11"/>
      <c r="AM67" s="2">
        <f t="shared" ref="AM67:AM94" si="156">(AM68*$D$22-BS67)/($D$21-$D$22*G68)</f>
        <v>181.54555308595795</v>
      </c>
      <c r="AN67" s="2">
        <f t="shared" ref="AN67:AN94" si="157">(AN68*$D$22-BT67)/($D$21-$D$22*H68)</f>
        <v>176.05564455799197</v>
      </c>
      <c r="AO67" s="2">
        <f t="shared" ref="AO67:AO94" si="158">(AO68*$D$22-BU67)/($D$21-$D$22*I68)</f>
        <v>170.58118416891898</v>
      </c>
      <c r="AP67" s="2">
        <f t="shared" ref="AP67:AP94" si="159">(AP68*$D$22-BV67)/($D$21-$D$22*J68)</f>
        <v>165.13743828789359</v>
      </c>
      <c r="AQ67" s="2">
        <f t="shared" ref="AQ67:AQ94" si="160">(AQ68*$D$22-BW67)/($D$21-$D$22*K68)</f>
        <v>159.73931190628221</v>
      </c>
      <c r="AR67" s="2">
        <f t="shared" ref="AR67:AR94" si="161">(AR68*$D$22-BX67)/($D$21-$D$22*L68)</f>
        <v>154.40117332621438</v>
      </c>
      <c r="AS67" s="2">
        <f t="shared" ref="AS67:AS94" si="162">(AS68*$D$22-BY67)/($D$21-$D$22*M68)</f>
        <v>149.13668522747986</v>
      </c>
      <c r="AT67" s="2">
        <f t="shared" ref="AT67:AT94" si="163">(AT68*$D$22-BZ67)/($D$21-$D$22*N68)</f>
        <v>143.958644115704</v>
      </c>
      <c r="AU67" s="2">
        <f t="shared" ref="AU67:AU94" si="164">(AU68*$D$22-CA67)/($D$21-$D$22*O68)</f>
        <v>138.87883005139878</v>
      </c>
      <c r="AV67" s="2">
        <f t="shared" ref="AV67:AV94" si="165">(AV68*$D$22-CB67)/($D$21-$D$22*P68)</f>
        <v>133.9078684330683</v>
      </c>
      <c r="AW67" s="2">
        <f t="shared" ref="AW67:AW94" si="166">(AW68*$D$22-CC67)/($D$21-$D$22*Q68)</f>
        <v>129.05510545981335</v>
      </c>
      <c r="AX67" s="2">
        <f t="shared" ref="AX67:AX94" si="167">(AX68*$D$22-CD67)/($D$21-$D$22*R68)</f>
        <v>124.32849873184762</v>
      </c>
      <c r="AY67" s="2">
        <f t="shared" ref="AY67:AY94" si="168">(AY68*$D$22-CE67)/($D$21-$D$22*S68)</f>
        <v>119.73452426329702</v>
      </c>
      <c r="AZ67" s="2">
        <f t="shared" ref="AZ67:AZ94" si="169">(AZ68*$D$22-CF67)/($D$21-$D$22*T68)</f>
        <v>115.27810098304609</v>
      </c>
      <c r="BA67" s="2">
        <f t="shared" ref="BA67:BA94" si="170">(BA68*$D$22-CG67)/($D$21-$D$22*U68)</f>
        <v>110.96253358885929</v>
      </c>
      <c r="BB67" s="2">
        <f t="shared" ref="BB67:BB94" si="171">(BB68*$D$22-CH67)/($D$21-$D$22*V68)</f>
        <v>106.78947440025244</v>
      </c>
      <c r="BC67" s="2">
        <f t="shared" ref="BC67:BC94" si="172">(BC68*$D$22-CI67)/($D$21-$D$22*W68)</f>
        <v>102.75890462941651</v>
      </c>
      <c r="BD67" s="2">
        <f t="shared" ref="BD67:BD94" si="173">(BD68*$D$22-CJ67)/($D$21-$D$22*X68)</f>
        <v>98.869135259714525</v>
      </c>
      <c r="BE67" s="2">
        <f t="shared" ref="BE67:BE94" si="174">(BE68*$D$22-CK67)/($D$21-$D$22*Y68)</f>
        <v>95.11682749067441</v>
      </c>
      <c r="BF67" s="2">
        <f t="shared" ref="BF67:BF94" si="175">(BF68*$D$22-CL67)/($D$21-$D$22*Z68)</f>
        <v>91.49703247972262</v>
      </c>
      <c r="BG67" s="2">
        <f t="shared" ref="BG67:BG94" si="176">(BG68*$D$22-CM67)/($D$21-$D$22*AA68)</f>
        <v>88.003249886793512</v>
      </c>
      <c r="BH67" s="2">
        <f t="shared" ref="BH67:BH94" si="177">(BH68*$D$22-CN67)/($D$21-$D$22*AB68)</f>
        <v>84.627504510936447</v>
      </c>
      <c r="BI67" s="2">
        <f t="shared" ref="BI67:BI94" si="178">(BI68*$D$22-CO67)/($D$21-$D$22*AC68)</f>
        <v>81.3604401005081</v>
      </c>
      <c r="BJ67" s="2">
        <f t="shared" ref="BJ67:BJ94" si="179">(BJ68*$D$22-CP67)/($D$21-$D$22*AD68)</f>
        <v>78.191429222701231</v>
      </c>
      <c r="BK67" s="2">
        <f t="shared" ref="BK67:BK94" si="180">(BK68*$D$22-CQ67)/($D$21-$D$22*AE68)</f>
        <v>75.108697896062552</v>
      </c>
      <c r="BL67" s="2">
        <f t="shared" ref="BL67:BL94" si="181">(BL68*$D$22-CR67)/($D$21-$D$22*AF68)</f>
        <v>72.099463523136663</v>
      </c>
      <c r="BM67" s="2">
        <f t="shared" ref="BM67:BM94" si="182">(BM68*$D$22-CS67)/($D$21-$D$22*AG68)</f>
        <v>69.150084511084785</v>
      </c>
      <c r="BN67" s="2">
        <f t="shared" ref="BN67:BN94" si="183">(BN68*$D$22-CT67)/($D$21-$D$22*AH68)</f>
        <v>66.246219837506629</v>
      </c>
      <c r="BO67" s="2">
        <f t="shared" ref="BO67:BO94" si="184">(BO68*$D$22-CU67)/($D$21-$D$22*AI68)</f>
        <v>63.372996707973968</v>
      </c>
      <c r="BP67" s="2">
        <f t="shared" ref="BP67:BP94" si="185">(BP68*$D$22-CV67)/($D$21-$D$22*AJ68)</f>
        <v>60.51518436198598</v>
      </c>
      <c r="BQ67" s="11"/>
      <c r="BR67" s="11"/>
      <c r="BS67" s="2">
        <f>-$C$10*$C$9/$C$7*CY35</f>
        <v>-1076400000</v>
      </c>
      <c r="BT67" s="2">
        <f t="shared" ref="BT67:CT76" si="186">-$C$10*$C$9/$C$7*CZ35</f>
        <v>-1043849835.9279302</v>
      </c>
      <c r="BU67" s="2">
        <f t="shared" si="186"/>
        <v>-1011391265.2682122</v>
      </c>
      <c r="BV67" s="2">
        <f t="shared" si="186"/>
        <v>-979114803.70398259</v>
      </c>
      <c r="BW67" s="2">
        <f t="shared" si="186"/>
        <v>-947108824.27679527</v>
      </c>
      <c r="BX67" s="2">
        <f t="shared" si="186"/>
        <v>-915458517.94919038</v>
      </c>
      <c r="BY67" s="2">
        <f t="shared" si="186"/>
        <v>-884244891.98505139</v>
      </c>
      <c r="BZ67" s="2">
        <f t="shared" si="186"/>
        <v>-853543818.0233196</v>
      </c>
      <c r="CA67" s="2">
        <f t="shared" si="186"/>
        <v>-823425141.10794938</v>
      </c>
      <c r="CB67" s="2">
        <f t="shared" si="186"/>
        <v>-793951860.18744433</v>
      </c>
      <c r="CC67" s="2">
        <f t="shared" si="186"/>
        <v>-765179389.72137654</v>
      </c>
      <c r="CD67" s="2">
        <f t="shared" si="186"/>
        <v>-737154911.04095757</v>
      </c>
      <c r="CE67" s="2">
        <f t="shared" si="186"/>
        <v>-709916821.01951528</v>
      </c>
      <c r="CF67" s="2">
        <f t="shared" si="186"/>
        <v>-683494284.43118632</v>
      </c>
      <c r="CG67" s="2">
        <f t="shared" si="186"/>
        <v>-657906895.12783492</v>
      </c>
      <c r="CH67" s="2">
        <f t="shared" si="186"/>
        <v>-633164449.86127651</v>
      </c>
      <c r="CI67" s="2">
        <f t="shared" si="186"/>
        <v>-609266837.23689222</v>
      </c>
      <c r="CJ67" s="2">
        <f t="shared" si="186"/>
        <v>-586204042.92231715</v>
      </c>
      <c r="CK67" s="2">
        <f t="shared" si="186"/>
        <v>-563956270.86765051</v>
      </c>
      <c r="CL67" s="2">
        <f t="shared" si="186"/>
        <v>-542494178.93778837</v>
      </c>
      <c r="CM67" s="2">
        <f t="shared" si="186"/>
        <v>-521779226.02870619</v>
      </c>
      <c r="CN67" s="2">
        <f t="shared" si="186"/>
        <v>-501764126.45283234</v>
      </c>
      <c r="CO67" s="2">
        <f t="shared" si="186"/>
        <v>-482393406.14816034</v>
      </c>
      <c r="CP67" s="2">
        <f t="shared" si="186"/>
        <v>-463604054.10461992</v>
      </c>
      <c r="CQ67" s="2">
        <f t="shared" si="186"/>
        <v>-445326261.32154495</v>
      </c>
      <c r="CR67" s="2">
        <f t="shared" si="186"/>
        <v>-427484238.62279141</v>
      </c>
      <c r="CS67" s="2">
        <f t="shared" si="186"/>
        <v>-409997103.77091497</v>
      </c>
      <c r="CT67" s="2">
        <f t="shared" si="186"/>
        <v>-392779827.54735708</v>
      </c>
      <c r="CU67" s="2">
        <f>-$C$10*$C$9/$C$7*EA35</f>
        <v>-375744227.80912173</v>
      </c>
      <c r="CV67" s="2">
        <f>-$C$10*$C$9/$C$7*EB35</f>
        <v>-358800000</v>
      </c>
      <c r="CW67" s="11"/>
      <c r="CX67" s="11"/>
      <c r="CY67" s="2">
        <f>AM68/(1-G68)</f>
        <v>300</v>
      </c>
      <c r="CZ67" s="2">
        <f t="shared" ref="CZ67:EB67" si="187">AN68/(1-H68)</f>
        <v>290.92804791748335</v>
      </c>
      <c r="DA67" s="2">
        <f t="shared" si="187"/>
        <v>281.88162354186517</v>
      </c>
      <c r="DB67" s="2">
        <f t="shared" si="187"/>
        <v>272.88595420958262</v>
      </c>
      <c r="DC67" s="2">
        <f t="shared" si="187"/>
        <v>263.965670088293</v>
      </c>
      <c r="DD67" s="2">
        <f t="shared" si="187"/>
        <v>255.14451447859267</v>
      </c>
      <c r="DE67" s="2">
        <f t="shared" si="187"/>
        <v>246.44506465581145</v>
      </c>
      <c r="DF67" s="2">
        <f t="shared" si="187"/>
        <v>237.88846656168326</v>
      </c>
      <c r="DG67" s="2">
        <f t="shared" si="187"/>
        <v>229.49418648493574</v>
      </c>
      <c r="DH67" s="2">
        <f t="shared" si="187"/>
        <v>221.27978266093763</v>
      </c>
      <c r="DI67" s="2">
        <f t="shared" si="187"/>
        <v>213.26069947641489</v>
      </c>
      <c r="DJ67" s="2">
        <f t="shared" si="187"/>
        <v>205.45008668923009</v>
      </c>
      <c r="DK67" s="2">
        <f t="shared" si="187"/>
        <v>197.85864576909566</v>
      </c>
      <c r="DL67" s="2">
        <f t="shared" si="187"/>
        <v>190.494505136897</v>
      </c>
      <c r="DM67" s="2">
        <f t="shared" si="187"/>
        <v>183.36312573239547</v>
      </c>
      <c r="DN67" s="2">
        <f t="shared" si="187"/>
        <v>176.46723797694438</v>
      </c>
      <c r="DO67" s="2">
        <f t="shared" si="187"/>
        <v>169.80681082410598</v>
      </c>
      <c r="DP67" s="2">
        <f t="shared" si="187"/>
        <v>163.37905321134815</v>
      </c>
      <c r="DQ67" s="2">
        <f t="shared" si="187"/>
        <v>157.17844784494164</v>
      </c>
      <c r="DR67" s="2">
        <f t="shared" si="187"/>
        <v>151.19681687229331</v>
      </c>
      <c r="DS67" s="2">
        <f t="shared" si="187"/>
        <v>145.42341862561491</v>
      </c>
      <c r="DT67" s="2">
        <f t="shared" si="187"/>
        <v>139.84507426221637</v>
      </c>
      <c r="DU67" s="2">
        <f t="shared" si="187"/>
        <v>134.44632278376821</v>
      </c>
      <c r="DV67" s="2">
        <f t="shared" si="187"/>
        <v>129.20960259326085</v>
      </c>
      <c r="DW67" s="2">
        <f t="shared" si="187"/>
        <v>124.1154574474763</v>
      </c>
      <c r="DX67" s="2">
        <f t="shared" si="187"/>
        <v>119.14276438762303</v>
      </c>
      <c r="DY67" s="2">
        <f t="shared" si="187"/>
        <v>114.26898098409002</v>
      </c>
      <c r="DZ67" s="2">
        <f t="shared" si="187"/>
        <v>109.47040901542842</v>
      </c>
      <c r="EA67" s="2">
        <f t="shared" si="187"/>
        <v>104.72247151870727</v>
      </c>
      <c r="EB67" s="2">
        <f t="shared" si="187"/>
        <v>99.999999999999986</v>
      </c>
    </row>
    <row r="68" spans="4:132" x14ac:dyDescent="0.3">
      <c r="D68" s="11"/>
      <c r="E68" s="11"/>
      <c r="F68" s="7">
        <v>29</v>
      </c>
      <c r="G68" s="2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">
        <f t="shared" ref="AJ68:AJ94" si="217">$D$20/($D$21-$D$22*AJ69)</f>
        <v>0.39484815638014015</v>
      </c>
      <c r="AK68" s="11"/>
      <c r="AL68" s="11"/>
      <c r="AM68" s="2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">
        <f t="shared" si="185"/>
        <v>60.51518436198598</v>
      </c>
      <c r="BQ68" s="11"/>
      <c r="BR68" s="11"/>
      <c r="BS68" s="2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">
        <f t="shared" ref="CV68:CV96" si="220">-$C$10*$C$9/$C$7*EB36</f>
        <v>-358800000</v>
      </c>
      <c r="CW68" s="11"/>
      <c r="CX68" s="11"/>
      <c r="CY68" s="2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">
        <f t="shared" si="221"/>
        <v>100</v>
      </c>
    </row>
    <row r="69" spans="4:132" x14ac:dyDescent="0.3">
      <c r="D69" s="11"/>
      <c r="E69" s="11"/>
      <c r="F69" s="7">
        <v>28</v>
      </c>
      <c r="G69" s="2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">
        <f t="shared" si="217"/>
        <v>0.39484815638014015</v>
      </c>
      <c r="AK69" s="11"/>
      <c r="AL69" s="11"/>
      <c r="AM69" s="2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">
        <f t="shared" si="185"/>
        <v>60.51518436198598</v>
      </c>
      <c r="BQ69" s="11"/>
      <c r="BR69" s="11"/>
      <c r="BS69" s="2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">
        <f t="shared" si="220"/>
        <v>-358800000</v>
      </c>
      <c r="CW69" s="11"/>
      <c r="CX69" s="11"/>
      <c r="CY69" s="2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">
        <f t="shared" si="221"/>
        <v>100</v>
      </c>
    </row>
    <row r="70" spans="4:132" x14ac:dyDescent="0.3">
      <c r="D70" s="11"/>
      <c r="E70" s="11"/>
      <c r="F70" s="7">
        <v>27</v>
      </c>
      <c r="G70" s="2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">
        <f t="shared" si="217"/>
        <v>0.39484815638014015</v>
      </c>
      <c r="AK70" s="11"/>
      <c r="AL70" s="11"/>
      <c r="AM70" s="2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">
        <f t="shared" si="185"/>
        <v>60.51518436198598</v>
      </c>
      <c r="BQ70" s="11"/>
      <c r="BR70" s="11"/>
      <c r="BS70" s="2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">
        <f t="shared" si="220"/>
        <v>-358800000</v>
      </c>
      <c r="CW70" s="11"/>
      <c r="CX70" s="11"/>
      <c r="CY70" s="2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">
        <f t="shared" si="221"/>
        <v>100</v>
      </c>
    </row>
    <row r="71" spans="4:132" x14ac:dyDescent="0.3">
      <c r="D71" s="11"/>
      <c r="E71" s="11"/>
      <c r="F71" s="7">
        <v>26</v>
      </c>
      <c r="G71" s="2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">
        <f t="shared" si="217"/>
        <v>0.39484815638014015</v>
      </c>
      <c r="AK71" s="11"/>
      <c r="AL71" s="11"/>
      <c r="AM71" s="2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">
        <f t="shared" si="185"/>
        <v>60.51518436198598</v>
      </c>
      <c r="BQ71" s="11"/>
      <c r="BR71" s="11"/>
      <c r="BS71" s="2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">
        <f t="shared" si="220"/>
        <v>-358800000</v>
      </c>
      <c r="CW71" s="11"/>
      <c r="CX71" s="11"/>
      <c r="CY71" s="2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">
        <f t="shared" si="221"/>
        <v>100</v>
      </c>
    </row>
    <row r="72" spans="4:132" x14ac:dyDescent="0.3">
      <c r="D72" s="11"/>
      <c r="E72" s="11"/>
      <c r="F72" s="7">
        <v>25</v>
      </c>
      <c r="G72" s="2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">
        <f t="shared" si="217"/>
        <v>0.39484815638014015</v>
      </c>
      <c r="AK72" s="11"/>
      <c r="AL72" s="11"/>
      <c r="AM72" s="2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">
        <f t="shared" si="185"/>
        <v>60.51518436198598</v>
      </c>
      <c r="BQ72" s="11"/>
      <c r="BR72" s="11"/>
      <c r="BS72" s="2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">
        <f t="shared" si="220"/>
        <v>-358800000</v>
      </c>
      <c r="CW72" s="11"/>
      <c r="CX72" s="11"/>
      <c r="CY72" s="2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">
        <f t="shared" si="221"/>
        <v>100</v>
      </c>
    </row>
    <row r="73" spans="4:132" x14ac:dyDescent="0.3">
      <c r="D73" s="11"/>
      <c r="E73" s="11"/>
      <c r="F73" s="7">
        <v>24</v>
      </c>
      <c r="G73" s="2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">
        <f t="shared" si="217"/>
        <v>0.39484815638014015</v>
      </c>
      <c r="AK73" s="11"/>
      <c r="AL73" s="11"/>
      <c r="AM73" s="2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">
        <f t="shared" si="185"/>
        <v>60.51518436198598</v>
      </c>
      <c r="BQ73" s="11"/>
      <c r="BR73" s="11"/>
      <c r="BS73" s="2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">
        <f t="shared" si="220"/>
        <v>-358800000</v>
      </c>
      <c r="CW73" s="11"/>
      <c r="CX73" s="11"/>
      <c r="CY73" s="2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">
        <f t="shared" si="221"/>
        <v>100</v>
      </c>
    </row>
    <row r="74" spans="4:132" x14ac:dyDescent="0.3">
      <c r="D74" s="11"/>
      <c r="E74" s="11"/>
      <c r="F74" s="7">
        <v>23</v>
      </c>
      <c r="G74" s="2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">
        <f t="shared" si="217"/>
        <v>0.39484815638014015</v>
      </c>
      <c r="AK74" s="11"/>
      <c r="AL74" s="11"/>
      <c r="AM74" s="2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">
        <f t="shared" si="185"/>
        <v>60.51518436198598</v>
      </c>
      <c r="BQ74" s="11"/>
      <c r="BR74" s="11"/>
      <c r="BS74" s="2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">
        <f t="shared" si="220"/>
        <v>-358800000</v>
      </c>
      <c r="CW74" s="11"/>
      <c r="CX74" s="11"/>
      <c r="CY74" s="2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">
        <f t="shared" si="221"/>
        <v>100</v>
      </c>
    </row>
    <row r="75" spans="4:132" x14ac:dyDescent="0.3">
      <c r="D75" s="11"/>
      <c r="E75" s="11"/>
      <c r="F75" s="7">
        <v>22</v>
      </c>
      <c r="G75" s="2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">
        <f t="shared" si="217"/>
        <v>0.39484815638014015</v>
      </c>
      <c r="AK75" s="11"/>
      <c r="AL75" s="11"/>
      <c r="AM75" s="2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">
        <f t="shared" si="185"/>
        <v>60.51518436198598</v>
      </c>
      <c r="BQ75" s="11"/>
      <c r="BR75" s="11"/>
      <c r="BS75" s="2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">
        <f t="shared" si="220"/>
        <v>-358800000</v>
      </c>
      <c r="CW75" s="11"/>
      <c r="CX75" s="11"/>
      <c r="CY75" s="2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">
        <f t="shared" si="221"/>
        <v>100</v>
      </c>
    </row>
    <row r="76" spans="4:132" x14ac:dyDescent="0.3">
      <c r="D76" s="11"/>
      <c r="E76" s="11"/>
      <c r="F76" s="7">
        <v>21</v>
      </c>
      <c r="G76" s="2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">
        <f t="shared" si="217"/>
        <v>0.3948481563801402</v>
      </c>
      <c r="AK76" s="11"/>
      <c r="AL76" s="11"/>
      <c r="AM76" s="2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">
        <f t="shared" si="185"/>
        <v>60.51518436198598</v>
      </c>
      <c r="BQ76" s="11"/>
      <c r="BR76" s="11"/>
      <c r="BS76" s="2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">
        <f t="shared" si="220"/>
        <v>-358800000</v>
      </c>
      <c r="CW76" s="11"/>
      <c r="CX76" s="11"/>
      <c r="CY76" s="2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">
        <f t="shared" ref="EB76:EB96" si="243">AJ76*EB75+BP76</f>
        <v>100</v>
      </c>
    </row>
    <row r="77" spans="4:132" x14ac:dyDescent="0.3">
      <c r="D77" s="11"/>
      <c r="E77" s="11"/>
      <c r="F77" s="7">
        <v>20</v>
      </c>
      <c r="G77" s="2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">
        <f t="shared" si="217"/>
        <v>0.39484815638014059</v>
      </c>
      <c r="AK77" s="11"/>
      <c r="AL77" s="11"/>
      <c r="AM77" s="2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">
        <f t="shared" si="185"/>
        <v>60.515184361985952</v>
      </c>
      <c r="BQ77" s="11"/>
      <c r="BR77" s="11"/>
      <c r="BS77" s="2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">
        <f t="shared" si="220"/>
        <v>-358800000</v>
      </c>
      <c r="CW77" s="11"/>
      <c r="CX77" s="11"/>
      <c r="CY77" s="2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">
        <f t="shared" si="243"/>
        <v>100.00000000000001</v>
      </c>
    </row>
    <row r="78" spans="4:132" x14ac:dyDescent="0.3">
      <c r="D78" s="11"/>
      <c r="E78" s="11"/>
      <c r="F78" s="7">
        <v>19</v>
      </c>
      <c r="G78" s="2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">
        <f t="shared" si="217"/>
        <v>0.3948481563801427</v>
      </c>
      <c r="AK78" s="11"/>
      <c r="AL78" s="11"/>
      <c r="AM78" s="2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">
        <f t="shared" si="185"/>
        <v>60.515184361985739</v>
      </c>
      <c r="BQ78" s="11"/>
      <c r="BR78" s="11"/>
      <c r="BS78" s="2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">
        <f t="shared" si="220"/>
        <v>-358800000</v>
      </c>
      <c r="CW78" s="11"/>
      <c r="CX78" s="11"/>
      <c r="CY78" s="2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">
        <f t="shared" si="243"/>
        <v>100.00000000000001</v>
      </c>
    </row>
    <row r="79" spans="4:132" x14ac:dyDescent="0.3">
      <c r="D79" s="11"/>
      <c r="E79" s="11"/>
      <c r="F79" s="7">
        <v>18</v>
      </c>
      <c r="G79" s="2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">
        <f t="shared" si="217"/>
        <v>0.39484815638015619</v>
      </c>
      <c r="AK79" s="11"/>
      <c r="AL79" s="11"/>
      <c r="AM79" s="2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">
        <f t="shared" si="185"/>
        <v>60.515184361984382</v>
      </c>
      <c r="BQ79" s="11"/>
      <c r="BR79" s="11"/>
      <c r="BS79" s="2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">
        <f t="shared" si="220"/>
        <v>-358800000</v>
      </c>
      <c r="CW79" s="11"/>
      <c r="CX79" s="11"/>
      <c r="CY79" s="2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">
        <f t="shared" si="243"/>
        <v>100</v>
      </c>
    </row>
    <row r="80" spans="4:132" x14ac:dyDescent="0.3">
      <c r="D80" s="11"/>
      <c r="E80" s="11"/>
      <c r="F80" s="7">
        <v>17</v>
      </c>
      <c r="G80" s="2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">
        <f t="shared" si="217"/>
        <v>0.39484815638024295</v>
      </c>
      <c r="AK80" s="11"/>
      <c r="AL80" s="11"/>
      <c r="AM80" s="2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">
        <f t="shared" si="185"/>
        <v>60.515184361975692</v>
      </c>
      <c r="BQ80" s="11"/>
      <c r="BR80" s="11"/>
      <c r="BS80" s="2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">
        <f t="shared" si="220"/>
        <v>-358800000</v>
      </c>
      <c r="CW80" s="11"/>
      <c r="CX80" s="11"/>
      <c r="CY80" s="2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">
        <f t="shared" si="243"/>
        <v>99.999999999999986</v>
      </c>
    </row>
    <row r="81" spans="4:132" x14ac:dyDescent="0.3">
      <c r="D81" s="11"/>
      <c r="E81" s="11"/>
      <c r="F81" s="7">
        <v>16</v>
      </c>
      <c r="G81" s="2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">
        <f t="shared" si="217"/>
        <v>0.39484815638079979</v>
      </c>
      <c r="AK81" s="11"/>
      <c r="AL81" s="11"/>
      <c r="AM81" s="2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">
        <f t="shared" si="185"/>
        <v>60.515184361920028</v>
      </c>
      <c r="BQ81" s="11"/>
      <c r="BR81" s="11"/>
      <c r="BS81" s="2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">
        <f t="shared" si="220"/>
        <v>-358800000</v>
      </c>
      <c r="CW81" s="11"/>
      <c r="CX81" s="11"/>
      <c r="CY81" s="2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">
        <f t="shared" si="243"/>
        <v>100</v>
      </c>
    </row>
    <row r="82" spans="4:132" x14ac:dyDescent="0.3">
      <c r="D82" s="11"/>
      <c r="E82" s="11"/>
      <c r="F82" s="7">
        <v>15</v>
      </c>
      <c r="G82" s="2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">
        <f t="shared" si="217"/>
        <v>0.3948481563843711</v>
      </c>
      <c r="AK82" s="11"/>
      <c r="AL82" s="11"/>
      <c r="AM82" s="2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">
        <f t="shared" si="185"/>
        <v>60.515184361562895</v>
      </c>
      <c r="BQ82" s="11"/>
      <c r="BR82" s="11"/>
      <c r="BS82" s="2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">
        <f t="shared" si="220"/>
        <v>-358800000</v>
      </c>
      <c r="CW82" s="11"/>
      <c r="CX82" s="11"/>
      <c r="CY82" s="2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">
        <f t="shared" si="243"/>
        <v>100</v>
      </c>
    </row>
    <row r="83" spans="4:132" x14ac:dyDescent="0.3">
      <c r="D83" s="11"/>
      <c r="E83" s="11"/>
      <c r="F83" s="7">
        <v>14</v>
      </c>
      <c r="G83" s="2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">
        <f t="shared" si="217"/>
        <v>0.39484815640727794</v>
      </c>
      <c r="AK83" s="11"/>
      <c r="AL83" s="11"/>
      <c r="AM83" s="2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">
        <f t="shared" si="185"/>
        <v>60.515184359272212</v>
      </c>
      <c r="BQ83" s="11"/>
      <c r="BR83" s="11"/>
      <c r="BS83" s="2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">
        <f t="shared" si="220"/>
        <v>-358800000</v>
      </c>
      <c r="CW83" s="11"/>
      <c r="CX83" s="11"/>
      <c r="CY83" s="2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">
        <f t="shared" si="243"/>
        <v>100</v>
      </c>
    </row>
    <row r="84" spans="4:132" x14ac:dyDescent="0.3">
      <c r="D84" s="11"/>
      <c r="E84" s="11"/>
      <c r="F84" s="7">
        <v>13</v>
      </c>
      <c r="G84" s="2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">
        <f t="shared" si="217"/>
        <v>0.39484815655420619</v>
      </c>
      <c r="AK84" s="11"/>
      <c r="AL84" s="11"/>
      <c r="AM84" s="2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">
        <f t="shared" si="185"/>
        <v>60.515184344579389</v>
      </c>
      <c r="BQ84" s="11"/>
      <c r="BR84" s="11"/>
      <c r="BS84" s="2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">
        <f t="shared" si="220"/>
        <v>-358800000</v>
      </c>
      <c r="CW84" s="11"/>
      <c r="CX84" s="11"/>
      <c r="CY84" s="2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">
        <f t="shared" si="243"/>
        <v>100</v>
      </c>
    </row>
    <row r="85" spans="4:132" x14ac:dyDescent="0.3">
      <c r="D85" s="11"/>
      <c r="E85" s="11"/>
      <c r="F85" s="7">
        <v>12</v>
      </c>
      <c r="G85" s="2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">
        <f t="shared" si="217"/>
        <v>0.39484815749662749</v>
      </c>
      <c r="AK85" s="11"/>
      <c r="AL85" s="11"/>
      <c r="AM85" s="2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">
        <f t="shared" si="185"/>
        <v>60.515184250337256</v>
      </c>
      <c r="BQ85" s="11"/>
      <c r="BR85" s="11"/>
      <c r="BS85" s="2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">
        <f t="shared" si="220"/>
        <v>-358800000</v>
      </c>
      <c r="CW85" s="11"/>
      <c r="CX85" s="11"/>
      <c r="CY85" s="2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">
        <f t="shared" si="243"/>
        <v>100</v>
      </c>
    </row>
    <row r="86" spans="4:132" x14ac:dyDescent="0.3">
      <c r="D86" s="11"/>
      <c r="E86" s="11"/>
      <c r="F86" s="7">
        <v>11</v>
      </c>
      <c r="G86" s="2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">
        <f t="shared" si="217"/>
        <v>0.39484816354146846</v>
      </c>
      <c r="AK86" s="11"/>
      <c r="AL86" s="11"/>
      <c r="AM86" s="2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">
        <f t="shared" si="185"/>
        <v>60.515183645853163</v>
      </c>
      <c r="BQ86" s="11"/>
      <c r="BR86" s="11"/>
      <c r="BS86" s="2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">
        <f t="shared" si="220"/>
        <v>-358800000</v>
      </c>
      <c r="CW86" s="11"/>
      <c r="CX86" s="11"/>
      <c r="CY86" s="2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">
        <f t="shared" si="243"/>
        <v>100</v>
      </c>
    </row>
    <row r="87" spans="4:132" x14ac:dyDescent="0.3">
      <c r="D87" s="11"/>
      <c r="E87" s="11"/>
      <c r="F87" s="7">
        <v>10</v>
      </c>
      <c r="G87" s="2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">
        <f t="shared" si="217"/>
        <v>0.39484820231404288</v>
      </c>
      <c r="AK87" s="11"/>
      <c r="AL87" s="11"/>
      <c r="AM87" s="2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">
        <f t="shared" si="185"/>
        <v>60.515179768595715</v>
      </c>
      <c r="BQ87" s="11"/>
      <c r="BR87" s="11"/>
      <c r="BS87" s="2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">
        <f t="shared" si="220"/>
        <v>-358800000</v>
      </c>
      <c r="CW87" s="11"/>
      <c r="CX87" s="11"/>
      <c r="CY87" s="2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">
        <f t="shared" si="243"/>
        <v>100</v>
      </c>
    </row>
    <row r="88" spans="4:132" x14ac:dyDescent="0.3">
      <c r="D88" s="11"/>
      <c r="E88" s="11"/>
      <c r="F88" s="7">
        <v>9</v>
      </c>
      <c r="G88" s="2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">
        <f t="shared" si="217"/>
        <v>0.39484845100749483</v>
      </c>
      <c r="AK88" s="11"/>
      <c r="AL88" s="11"/>
      <c r="AM88" s="2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">
        <f t="shared" si="185"/>
        <v>60.515154899250518</v>
      </c>
      <c r="BQ88" s="11"/>
      <c r="BR88" s="11"/>
      <c r="BS88" s="2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">
        <f t="shared" si="220"/>
        <v>-358800000</v>
      </c>
      <c r="CW88" s="11"/>
      <c r="CX88" s="11"/>
      <c r="CY88" s="2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">
        <f t="shared" si="243"/>
        <v>100</v>
      </c>
    </row>
    <row r="89" spans="4:132" x14ac:dyDescent="0.3">
      <c r="D89" s="11"/>
      <c r="E89" s="11"/>
      <c r="F89" s="7">
        <v>8</v>
      </c>
      <c r="G89" s="2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">
        <f t="shared" si="217"/>
        <v>0.39485004616564395</v>
      </c>
      <c r="AK89" s="11"/>
      <c r="AL89" s="11"/>
      <c r="AM89" s="2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">
        <f t="shared" si="185"/>
        <v>60.514995383435604</v>
      </c>
      <c r="BQ89" s="11"/>
      <c r="BR89" s="11"/>
      <c r="BS89" s="2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">
        <f t="shared" si="220"/>
        <v>-358800000</v>
      </c>
      <c r="CW89" s="11"/>
      <c r="CX89" s="11"/>
      <c r="CY89" s="2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">
        <f t="shared" si="243"/>
        <v>100</v>
      </c>
    </row>
    <row r="90" spans="4:132" x14ac:dyDescent="0.3">
      <c r="D90" s="11"/>
      <c r="E90" s="11"/>
      <c r="F90" s="7">
        <v>7</v>
      </c>
      <c r="G90" s="2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">
        <f t="shared" si="217"/>
        <v>0.39486027770820464</v>
      </c>
      <c r="AK90" s="11"/>
      <c r="AL90" s="11"/>
      <c r="AM90" s="2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">
        <f t="shared" si="185"/>
        <v>60.513972229179537</v>
      </c>
      <c r="BQ90" s="11"/>
      <c r="BR90" s="11"/>
      <c r="BS90" s="2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">
        <f t="shared" si="220"/>
        <v>-358800000</v>
      </c>
      <c r="CW90" s="11"/>
      <c r="CX90" s="11"/>
      <c r="CY90" s="2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">
        <f t="shared" si="243"/>
        <v>100</v>
      </c>
    </row>
    <row r="91" spans="4:132" x14ac:dyDescent="0.3">
      <c r="D91" s="11"/>
      <c r="E91" s="11"/>
      <c r="F91" s="7">
        <v>6</v>
      </c>
      <c r="G91" s="2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">
        <f t="shared" si="217"/>
        <v>0.39492590212780204</v>
      </c>
      <c r="AK91" s="11"/>
      <c r="AL91" s="11"/>
      <c r="AM91" s="2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">
        <f t="shared" si="185"/>
        <v>60.507409787219807</v>
      </c>
      <c r="BQ91" s="11"/>
      <c r="BR91" s="11"/>
      <c r="BS91" s="2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">
        <f t="shared" si="220"/>
        <v>-358800000</v>
      </c>
      <c r="CW91" s="11"/>
      <c r="CX91" s="11"/>
      <c r="CY91" s="2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">
        <f t="shared" si="243"/>
        <v>100.00000000000001</v>
      </c>
    </row>
    <row r="92" spans="4:132" x14ac:dyDescent="0.3">
      <c r="D92" s="11"/>
      <c r="E92" s="11"/>
      <c r="F92" s="7">
        <v>5</v>
      </c>
      <c r="G92" s="2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">
        <f t="shared" si="217"/>
        <v>0.39534673185434266</v>
      </c>
      <c r="AK92" s="11"/>
      <c r="AL92" s="11"/>
      <c r="AM92" s="2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">
        <f t="shared" si="185"/>
        <v>60.465326814565742</v>
      </c>
      <c r="BQ92" s="11"/>
      <c r="BR92" s="11"/>
      <c r="BS92" s="2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">
        <f t="shared" si="220"/>
        <v>-358800000</v>
      </c>
      <c r="CW92" s="11"/>
      <c r="CX92" s="11"/>
      <c r="CY92" s="2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">
        <f t="shared" si="243"/>
        <v>100.00000000000001</v>
      </c>
    </row>
    <row r="93" spans="4:132" x14ac:dyDescent="0.3">
      <c r="D93" s="11"/>
      <c r="E93" s="11"/>
      <c r="F93" s="7">
        <v>4</v>
      </c>
      <c r="G93" s="2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">
        <f t="shared" si="217"/>
        <v>0.39804206615396576</v>
      </c>
      <c r="AK93" s="11"/>
      <c r="AL93" s="11"/>
      <c r="AM93" s="2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">
        <f t="shared" si="185"/>
        <v>60.195793384603434</v>
      </c>
      <c r="BQ93" s="11"/>
      <c r="BR93" s="11"/>
      <c r="BS93" s="2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">
        <f t="shared" si="220"/>
        <v>-358800000</v>
      </c>
      <c r="CW93" s="11"/>
      <c r="CX93" s="11"/>
      <c r="CY93" s="2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">
        <f t="shared" si="243"/>
        <v>100.00000000000001</v>
      </c>
    </row>
    <row r="94" spans="4:132" x14ac:dyDescent="0.3">
      <c r="D94" s="11"/>
      <c r="E94" s="11"/>
      <c r="F94" s="7">
        <v>3</v>
      </c>
      <c r="G94" s="2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">
        <f t="shared" si="217"/>
        <v>0.41517002114434032</v>
      </c>
      <c r="AK94" s="11"/>
      <c r="AL94" s="11"/>
      <c r="AM94" s="2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">
        <f t="shared" si="185"/>
        <v>58.482997885565972</v>
      </c>
      <c r="BQ94" s="11"/>
      <c r="BR94" s="11"/>
      <c r="BS94" s="2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">
        <f t="shared" si="220"/>
        <v>-358800000</v>
      </c>
      <c r="CW94" s="11"/>
      <c r="CX94" s="11"/>
      <c r="CY94" s="2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">
        <f t="shared" si="243"/>
        <v>100</v>
      </c>
    </row>
    <row r="95" spans="4:132" x14ac:dyDescent="0.3">
      <c r="D95" s="11"/>
      <c r="E95" s="11"/>
      <c r="F95" s="7">
        <v>2</v>
      </c>
      <c r="G95" s="2">
        <f>$D$20/($D$21-$D$22*G96)</f>
        <v>0.51881554595928436</v>
      </c>
      <c r="H95" s="5">
        <f t="shared" ref="H95:AJ95" si="279">$D$20/($D$21-$D$22*H96)</f>
        <v>0.51881554595928436</v>
      </c>
      <c r="I95" s="5">
        <f t="shared" si="279"/>
        <v>0.51881554595928436</v>
      </c>
      <c r="J95" s="5">
        <f t="shared" si="279"/>
        <v>0.51881554595928436</v>
      </c>
      <c r="K95" s="5">
        <f t="shared" si="279"/>
        <v>0.51881554595928436</v>
      </c>
      <c r="L95" s="5">
        <f t="shared" si="279"/>
        <v>0.51881554595928436</v>
      </c>
      <c r="M95" s="5">
        <f t="shared" si="279"/>
        <v>0.51881554595928436</v>
      </c>
      <c r="N95" s="5">
        <f t="shared" si="279"/>
        <v>0.51881554595928436</v>
      </c>
      <c r="O95" s="5">
        <f t="shared" si="279"/>
        <v>0.51881554595928436</v>
      </c>
      <c r="P95" s="5">
        <f t="shared" si="279"/>
        <v>0.51881554595928436</v>
      </c>
      <c r="Q95" s="5">
        <f t="shared" si="279"/>
        <v>0.51881554595928436</v>
      </c>
      <c r="R95" s="5">
        <f t="shared" si="279"/>
        <v>0.51881554595928436</v>
      </c>
      <c r="S95" s="5">
        <f t="shared" si="279"/>
        <v>0.51881554595928436</v>
      </c>
      <c r="T95" s="5">
        <f t="shared" si="279"/>
        <v>0.51881554595928436</v>
      </c>
      <c r="U95" s="5">
        <f t="shared" si="279"/>
        <v>0.51881554595928436</v>
      </c>
      <c r="V95" s="5">
        <f t="shared" si="279"/>
        <v>0.51881554595928436</v>
      </c>
      <c r="W95" s="5">
        <f t="shared" si="279"/>
        <v>0.51881554595928436</v>
      </c>
      <c r="X95" s="5">
        <f t="shared" si="279"/>
        <v>0.51881554595928436</v>
      </c>
      <c r="Y95" s="5">
        <f t="shared" si="279"/>
        <v>0.51881554595928436</v>
      </c>
      <c r="Z95" s="5">
        <f t="shared" si="279"/>
        <v>0.51881554595928436</v>
      </c>
      <c r="AA95" s="5">
        <f t="shared" si="279"/>
        <v>0.51881554595928436</v>
      </c>
      <c r="AB95" s="5">
        <f t="shared" si="279"/>
        <v>0.51881554595928436</v>
      </c>
      <c r="AC95" s="5">
        <f t="shared" si="279"/>
        <v>0.51881554595928436</v>
      </c>
      <c r="AD95" s="5">
        <f t="shared" si="279"/>
        <v>0.51881554595928436</v>
      </c>
      <c r="AE95" s="5">
        <f t="shared" si="279"/>
        <v>0.51881554595928436</v>
      </c>
      <c r="AF95" s="5">
        <f t="shared" si="279"/>
        <v>0.51881554595928436</v>
      </c>
      <c r="AG95" s="5">
        <f>$D$20/($D$21-$D$22*AG96)</f>
        <v>0.51881554595928436</v>
      </c>
      <c r="AH95" s="5">
        <f t="shared" si="279"/>
        <v>0.51881554595928436</v>
      </c>
      <c r="AI95" s="5">
        <f t="shared" si="279"/>
        <v>0.51881554595928436</v>
      </c>
      <c r="AJ95" s="2">
        <f t="shared" si="279"/>
        <v>0.51881554595928436</v>
      </c>
      <c r="AK95" s="11"/>
      <c r="AL95" s="11"/>
      <c r="AM95" s="2">
        <f>(AM96*$D$22-BS95)/($D$21-$D$22*G96)</f>
        <v>144.3553362122147</v>
      </c>
      <c r="AN95" s="5">
        <f>(AN96*$D$22-BT95)/($D$21-$D$22*H96)</f>
        <v>139.99005390230545</v>
      </c>
      <c r="AO95" s="5">
        <f t="shared" ref="AO95:BP95" si="280">(AO96*$D$22-BU95)/($D$21-$D$22*I96)</f>
        <v>135.63705512810301</v>
      </c>
      <c r="AP95" s="5">
        <f t="shared" si="280"/>
        <v>131.30847889171787</v>
      </c>
      <c r="AQ95" s="5">
        <f t="shared" si="280"/>
        <v>127.01617684692705</v>
      </c>
      <c r="AR95" s="5">
        <f t="shared" si="280"/>
        <v>122.77157390086521</v>
      </c>
      <c r="AS95" s="5">
        <f t="shared" si="280"/>
        <v>118.58553388743564</v>
      </c>
      <c r="AT95" s="5">
        <f t="shared" si="280"/>
        <v>114.4682319050668</v>
      </c>
      <c r="AU95" s="5">
        <f t="shared" si="280"/>
        <v>110.4290348292722</v>
      </c>
      <c r="AV95" s="5">
        <f t="shared" si="280"/>
        <v>106.47639140995175</v>
      </c>
      <c r="AW95" s="5">
        <f t="shared" si="280"/>
        <v>102.6177332459001</v>
      </c>
      <c r="AX95" s="5">
        <f t="shared" si="280"/>
        <v>98.859387796175184</v>
      </c>
      <c r="AY95" s="5">
        <f t="shared" si="280"/>
        <v>95.206504441637946</v>
      </c>
      <c r="AZ95" s="5">
        <f t="shared" si="280"/>
        <v>91.662994452054377</v>
      </c>
      <c r="BA95" s="5">
        <f t="shared" si="280"/>
        <v>88.231485546742078</v>
      </c>
      <c r="BB95" s="5">
        <f t="shared" si="280"/>
        <v>84.913291562009292</v>
      </c>
      <c r="BC95" s="5">
        <f t="shared" si="280"/>
        <v>81.708397558792797</v>
      </c>
      <c r="BD95" s="5">
        <f t="shared" si="280"/>
        <v>78.615460521191849</v>
      </c>
      <c r="BE95" s="5">
        <f t="shared" si="280"/>
        <v>75.631825613235591</v>
      </c>
      <c r="BF95" s="5">
        <f t="shared" si="280"/>
        <v>72.753557779388785</v>
      </c>
      <c r="BG95" s="5">
        <f t="shared" si="280"/>
        <v>69.975488296101176</v>
      </c>
      <c r="BH95" s="5">
        <f t="shared" si="280"/>
        <v>67.29127570914811</v>
      </c>
      <c r="BI95" s="5">
        <f t="shared" si="280"/>
        <v>64.693480426489543</v>
      </c>
      <c r="BJ95" s="5">
        <f t="shared" si="280"/>
        <v>62.173652080656254</v>
      </c>
      <c r="BK95" s="5">
        <f t="shared" si="280"/>
        <v>59.722428629877712</v>
      </c>
      <c r="BL95" s="5">
        <f t="shared" si="280"/>
        <v>57.329646034760145</v>
      </c>
      <c r="BM95" s="5">
        <f t="shared" si="280"/>
        <v>54.984457228618368</v>
      </c>
      <c r="BN95" s="5">
        <f t="shared" si="280"/>
        <v>52.675458995702805</v>
      </c>
      <c r="BO95" s="5">
        <f t="shared" si="280"/>
        <v>50.39082528352359</v>
      </c>
      <c r="BP95" s="2">
        <f t="shared" si="280"/>
        <v>48.118445404071565</v>
      </c>
      <c r="BQ95" s="11"/>
      <c r="BR95" s="11"/>
      <c r="BS95" s="2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">
        <f t="shared" si="220"/>
        <v>-358800000</v>
      </c>
      <c r="CW95" s="11"/>
      <c r="CX95" s="11"/>
      <c r="CY95" s="2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">
        <f t="shared" si="243"/>
        <v>100</v>
      </c>
    </row>
    <row r="96" spans="4:132" x14ac:dyDescent="0.3">
      <c r="D96" s="11"/>
      <c r="E96" s="11"/>
      <c r="F96" s="7">
        <v>1</v>
      </c>
      <c r="G96" s="2">
        <f>1</f>
        <v>1</v>
      </c>
      <c r="H96" s="2">
        <f>1</f>
        <v>1</v>
      </c>
      <c r="I96" s="2">
        <f>1</f>
        <v>1</v>
      </c>
      <c r="J96" s="2">
        <f>1</f>
        <v>1</v>
      </c>
      <c r="K96" s="2">
        <f>1</f>
        <v>1</v>
      </c>
      <c r="L96" s="2">
        <f>1</f>
        <v>1</v>
      </c>
      <c r="M96" s="2">
        <f>1</f>
        <v>1</v>
      </c>
      <c r="N96" s="2">
        <f>1</f>
        <v>1</v>
      </c>
      <c r="O96" s="2">
        <f>1</f>
        <v>1</v>
      </c>
      <c r="P96" s="2">
        <f>1</f>
        <v>1</v>
      </c>
      <c r="Q96" s="2">
        <f>1</f>
        <v>1</v>
      </c>
      <c r="R96" s="2">
        <f>1</f>
        <v>1</v>
      </c>
      <c r="S96" s="2">
        <f>1</f>
        <v>1</v>
      </c>
      <c r="T96" s="2">
        <f>1</f>
        <v>1</v>
      </c>
      <c r="U96" s="2">
        <f>1</f>
        <v>1</v>
      </c>
      <c r="V96" s="2">
        <f>1</f>
        <v>1</v>
      </c>
      <c r="W96" s="2">
        <f>1</f>
        <v>1</v>
      </c>
      <c r="X96" s="2">
        <f>1</f>
        <v>1</v>
      </c>
      <c r="Y96" s="2">
        <f>1</f>
        <v>1</v>
      </c>
      <c r="Z96" s="2">
        <f>1</f>
        <v>1</v>
      </c>
      <c r="AA96" s="2">
        <f>1</f>
        <v>1</v>
      </c>
      <c r="AB96" s="2">
        <f>1</f>
        <v>1</v>
      </c>
      <c r="AC96" s="2">
        <f>1</f>
        <v>1</v>
      </c>
      <c r="AD96" s="2">
        <f>1</f>
        <v>1</v>
      </c>
      <c r="AE96" s="2">
        <f>1</f>
        <v>1</v>
      </c>
      <c r="AF96" s="2">
        <f>1</f>
        <v>1</v>
      </c>
      <c r="AG96" s="2">
        <f>1</f>
        <v>1</v>
      </c>
      <c r="AH96" s="2">
        <f>1</f>
        <v>1</v>
      </c>
      <c r="AI96" s="2">
        <f>1</f>
        <v>1</v>
      </c>
      <c r="AJ96" s="2">
        <f>1</f>
        <v>1</v>
      </c>
      <c r="AK96" s="11"/>
      <c r="AL96" s="11"/>
      <c r="AM96" s="2">
        <f>0</f>
        <v>0</v>
      </c>
      <c r="AN96" s="2">
        <f>0</f>
        <v>0</v>
      </c>
      <c r="AO96" s="2">
        <f>0</f>
        <v>0</v>
      </c>
      <c r="AP96" s="2">
        <f>0</f>
        <v>0</v>
      </c>
      <c r="AQ96" s="2">
        <f>0</f>
        <v>0</v>
      </c>
      <c r="AR96" s="2">
        <f>0</f>
        <v>0</v>
      </c>
      <c r="AS96" s="2">
        <f>0</f>
        <v>0</v>
      </c>
      <c r="AT96" s="2">
        <f>0</f>
        <v>0</v>
      </c>
      <c r="AU96" s="2">
        <f>0</f>
        <v>0</v>
      </c>
      <c r="AV96" s="2">
        <f>0</f>
        <v>0</v>
      </c>
      <c r="AW96" s="2">
        <f>0</f>
        <v>0</v>
      </c>
      <c r="AX96" s="2">
        <f>0</f>
        <v>0</v>
      </c>
      <c r="AY96" s="2">
        <f>0</f>
        <v>0</v>
      </c>
      <c r="AZ96" s="2">
        <f>0</f>
        <v>0</v>
      </c>
      <c r="BA96" s="2">
        <f>0</f>
        <v>0</v>
      </c>
      <c r="BB96" s="2">
        <f>0</f>
        <v>0</v>
      </c>
      <c r="BC96" s="2">
        <f>0</f>
        <v>0</v>
      </c>
      <c r="BD96" s="2">
        <f>0</f>
        <v>0</v>
      </c>
      <c r="BE96" s="2">
        <f>0</f>
        <v>0</v>
      </c>
      <c r="BF96" s="2">
        <f>0</f>
        <v>0</v>
      </c>
      <c r="BG96" s="2">
        <f>0</f>
        <v>0</v>
      </c>
      <c r="BH96" s="2">
        <f>0</f>
        <v>0</v>
      </c>
      <c r="BI96" s="2">
        <f>0</f>
        <v>0</v>
      </c>
      <c r="BJ96" s="2">
        <f>0</f>
        <v>0</v>
      </c>
      <c r="BK96" s="2">
        <f>0</f>
        <v>0</v>
      </c>
      <c r="BL96" s="2">
        <f>0</f>
        <v>0</v>
      </c>
      <c r="BM96" s="2">
        <f>0</f>
        <v>0</v>
      </c>
      <c r="BN96" s="2">
        <f>0</f>
        <v>0</v>
      </c>
      <c r="BO96" s="2">
        <f>0</f>
        <v>0</v>
      </c>
      <c r="BP96" s="2">
        <f>0</f>
        <v>0</v>
      </c>
      <c r="BQ96" s="11"/>
      <c r="BR96" s="11"/>
      <c r="BS96" s="2">
        <f t="shared" si="218"/>
        <v>-1076400000</v>
      </c>
      <c r="BT96" s="2">
        <f t="shared" si="244"/>
        <v>-1043849835.9279307</v>
      </c>
      <c r="BU96" s="2">
        <f t="shared" si="245"/>
        <v>-1011391265.2682128</v>
      </c>
      <c r="BV96" s="2">
        <f t="shared" si="246"/>
        <v>-979114803.70398343</v>
      </c>
      <c r="BW96" s="2">
        <f t="shared" si="247"/>
        <v>-947108824.2767961</v>
      </c>
      <c r="BX96" s="2">
        <f t="shared" si="248"/>
        <v>-915458517.94919133</v>
      </c>
      <c r="BY96" s="2">
        <f t="shared" si="249"/>
        <v>-884244891.98505247</v>
      </c>
      <c r="BZ96" s="2">
        <f t="shared" si="250"/>
        <v>-853543818.02332103</v>
      </c>
      <c r="CA96" s="2">
        <f t="shared" si="251"/>
        <v>-823425141.10795093</v>
      </c>
      <c r="CB96" s="2">
        <f t="shared" si="252"/>
        <v>-793951860.18744612</v>
      </c>
      <c r="CC96" s="2">
        <f t="shared" si="253"/>
        <v>-765179389.72137856</v>
      </c>
      <c r="CD96" s="2">
        <f t="shared" si="254"/>
        <v>-737154911.04095984</v>
      </c>
      <c r="CE96" s="2">
        <f t="shared" si="255"/>
        <v>-709916821.01951742</v>
      </c>
      <c r="CF96" s="2">
        <f t="shared" si="223"/>
        <v>-683494284.43118858</v>
      </c>
      <c r="CG96" s="2">
        <f t="shared" si="224"/>
        <v>-657906895.12783694</v>
      </c>
      <c r="CH96" s="2">
        <f t="shared" si="225"/>
        <v>-633164449.86127841</v>
      </c>
      <c r="CI96" s="2">
        <f t="shared" si="226"/>
        <v>-609266837.23689425</v>
      </c>
      <c r="CJ96" s="2">
        <f t="shared" si="227"/>
        <v>-586204042.92231905</v>
      </c>
      <c r="CK96" s="2">
        <f t="shared" si="228"/>
        <v>-563956270.86765242</v>
      </c>
      <c r="CL96" s="2">
        <f t="shared" si="229"/>
        <v>-542494178.93779039</v>
      </c>
      <c r="CM96" s="2">
        <f t="shared" si="230"/>
        <v>-521779226.02870792</v>
      </c>
      <c r="CN96" s="2">
        <f t="shared" si="231"/>
        <v>-501764126.45283377</v>
      </c>
      <c r="CO96" s="2">
        <f t="shared" si="232"/>
        <v>-482393406.14816189</v>
      </c>
      <c r="CP96" s="2">
        <f t="shared" si="233"/>
        <v>-463604054.10462135</v>
      </c>
      <c r="CQ96" s="2">
        <f t="shared" si="234"/>
        <v>-445326261.32154608</v>
      </c>
      <c r="CR96" s="2">
        <f t="shared" si="235"/>
        <v>-427484238.62279242</v>
      </c>
      <c r="CS96" s="2">
        <f t="shared" si="236"/>
        <v>-409997103.77091569</v>
      </c>
      <c r="CT96" s="2">
        <f t="shared" si="237"/>
        <v>-392779827.5473575</v>
      </c>
      <c r="CU96" s="2">
        <f t="shared" si="219"/>
        <v>-375744227.80912197</v>
      </c>
      <c r="CV96" s="2">
        <f t="shared" si="220"/>
        <v>-358800000</v>
      </c>
      <c r="CW96" s="11"/>
      <c r="CX96" s="11"/>
      <c r="CY96" s="2">
        <f t="shared" si="222"/>
        <v>300</v>
      </c>
      <c r="CZ96" s="2">
        <f t="shared" si="256"/>
        <v>290.92804791748347</v>
      </c>
      <c r="DA96" s="2">
        <f t="shared" si="257"/>
        <v>281.88162354186534</v>
      </c>
      <c r="DB96" s="2">
        <f t="shared" si="258"/>
        <v>272.88595420958291</v>
      </c>
      <c r="DC96" s="2">
        <f t="shared" si="259"/>
        <v>263.96567008829322</v>
      </c>
      <c r="DD96" s="2">
        <f t="shared" si="260"/>
        <v>255.14451447859292</v>
      </c>
      <c r="DE96" s="2">
        <f t="shared" si="261"/>
        <v>246.44506465581173</v>
      </c>
      <c r="DF96" s="2">
        <f t="shared" si="262"/>
        <v>237.88846656168369</v>
      </c>
      <c r="DG96" s="2">
        <f t="shared" si="263"/>
        <v>229.49418648493617</v>
      </c>
      <c r="DH96" s="2">
        <f t="shared" si="264"/>
        <v>221.27978266093817</v>
      </c>
      <c r="DI96" s="2">
        <f t="shared" si="265"/>
        <v>213.26069947641543</v>
      </c>
      <c r="DJ96" s="2">
        <f t="shared" si="266"/>
        <v>205.45008668923072</v>
      </c>
      <c r="DK96" s="2">
        <f t="shared" si="267"/>
        <v>197.85864576909628</v>
      </c>
      <c r="DL96" s="2">
        <f t="shared" si="268"/>
        <v>190.4945051368976</v>
      </c>
      <c r="DM96" s="2">
        <f t="shared" si="269"/>
        <v>183.36312573239604</v>
      </c>
      <c r="DN96" s="2">
        <f t="shared" si="270"/>
        <v>176.46723797694494</v>
      </c>
      <c r="DO96" s="2">
        <f t="shared" si="271"/>
        <v>169.80681082410655</v>
      </c>
      <c r="DP96" s="2">
        <f t="shared" si="272"/>
        <v>163.37905321134866</v>
      </c>
      <c r="DQ96" s="2">
        <f t="shared" si="273"/>
        <v>157.17844784494218</v>
      </c>
      <c r="DR96" s="2">
        <f t="shared" si="274"/>
        <v>151.19681687229385</v>
      </c>
      <c r="DS96" s="2">
        <f t="shared" si="275"/>
        <v>145.42341862561537</v>
      </c>
      <c r="DT96" s="2">
        <f t="shared" si="276"/>
        <v>139.84507426221677</v>
      </c>
      <c r="DU96" s="2">
        <f t="shared" si="277"/>
        <v>134.44632278376866</v>
      </c>
      <c r="DV96" s="2">
        <f t="shared" si="278"/>
        <v>129.20960259326125</v>
      </c>
      <c r="DW96" s="2">
        <f t="shared" si="238"/>
        <v>124.11545744747662</v>
      </c>
      <c r="DX96" s="2">
        <f t="shared" si="239"/>
        <v>119.14276438762332</v>
      </c>
      <c r="DY96" s="2">
        <f t="shared" si="240"/>
        <v>114.26898098409022</v>
      </c>
      <c r="DZ96" s="2">
        <f t="shared" si="241"/>
        <v>109.47040901542852</v>
      </c>
      <c r="EA96" s="2">
        <f t="shared" si="242"/>
        <v>104.72247151870735</v>
      </c>
      <c r="EB96" s="2">
        <f t="shared" si="243"/>
        <v>100</v>
      </c>
    </row>
  </sheetData>
  <mergeCells count="8"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Олеся Орина</cp:lastModifiedBy>
  <dcterms:created xsi:type="dcterms:W3CDTF">2021-03-25T07:15:14Z</dcterms:created>
  <dcterms:modified xsi:type="dcterms:W3CDTF">2021-04-18T17:19:57Z</dcterms:modified>
</cp:coreProperties>
</file>